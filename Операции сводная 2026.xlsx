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740" windowHeight="9940" tabRatio="600" firstSheet="0" activeTab="3" autoFilterDateGrouping="1"/>
  </bookViews>
  <sheets>
    <sheet name="Январь" sheetId="1" state="visible" r:id="rId1"/>
    <sheet name="Февраль" sheetId="2" state="visible" r:id="rId2"/>
    <sheet name="Март" sheetId="3" state="visible" r:id="rId3"/>
    <sheet name="Апрель" sheetId="4" state="visible" r:id="rId4"/>
    <sheet name="Май" sheetId="5" state="visible" r:id="rId5"/>
    <sheet name="Июнь" sheetId="6" state="visible" r:id="rId6"/>
    <sheet name="Июль" sheetId="7" state="visible" r:id="rId7"/>
    <sheet name="Август" sheetId="8" state="visible" r:id="rId8"/>
    <sheet name="Сентябрь" sheetId="9" state="visible" r:id="rId9"/>
    <sheet name="Октябрь " sheetId="10" state="visible" r:id="rId10"/>
    <sheet name="Ноябрь" sheetId="11" state="visible" r:id="rId11"/>
    <sheet name="Декабрь" sheetId="12" state="visible" r:id="rId12"/>
    <sheet name="ОБЩАЯ" sheetId="13" state="visible" r:id="rId13"/>
    <sheet name="График Общий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1"/>
    </font>
    <font>
      <name val="Times New Roman"/>
      <charset val="134"/>
      <b val="1"/>
      <color theme="1"/>
      <sz val="12"/>
    </font>
    <font>
      <name val="Arial"/>
      <charset val="134"/>
      <color theme="1"/>
      <sz val="9"/>
    </font>
    <font>
      <name val="Arial"/>
      <charset val="134"/>
      <color theme="1"/>
      <sz val="10"/>
    </font>
    <font>
      <name val="Arial"/>
      <charset val="134"/>
      <sz val="9"/>
    </font>
    <font>
      <name val="Arial"/>
      <charset val="134"/>
      <sz val="10"/>
    </font>
    <font>
      <name val="Times New Roman"/>
      <charset val="134"/>
      <color theme="1"/>
      <sz val="9"/>
    </font>
    <font>
      <name val="Arial"/>
      <charset val="134"/>
      <b val="1"/>
      <color theme="1"/>
      <sz val="10"/>
    </font>
    <font>
      <name val="Arial"/>
      <charset val="134"/>
      <b val="1"/>
      <color theme="1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indexed="5"/>
        <bgColor indexed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9" borderId="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0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8" fillId="0" borderId="0" applyAlignment="1">
      <alignment vertical="center"/>
    </xf>
    <xf numFmtId="0" fontId="19" fillId="10" borderId="12" applyAlignment="1">
      <alignment vertical="center"/>
    </xf>
    <xf numFmtId="0" fontId="20" fillId="11" borderId="13" applyAlignment="1">
      <alignment vertical="center"/>
    </xf>
    <xf numFmtId="0" fontId="21" fillId="11" borderId="12" applyAlignment="1">
      <alignment vertical="center"/>
    </xf>
    <xf numFmtId="0" fontId="22" fillId="12" borderId="14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2" borderId="4" applyAlignment="1" pivotButton="0" quotePrefix="0" xfId="0">
      <alignment vertical="center" wrapText="1"/>
    </xf>
    <xf numFmtId="0" fontId="0" fillId="2" borderId="1" pivotButton="0" quotePrefix="0" xfId="0"/>
    <xf numFmtId="0" fontId="0" fillId="4" borderId="4" applyAlignment="1" pivotButton="0" quotePrefix="0" xfId="0">
      <alignment vertical="center" wrapText="1"/>
    </xf>
    <xf numFmtId="0" fontId="0" fillId="2" borderId="5" pivotButton="0" quotePrefix="0" xfId="0"/>
    <xf numFmtId="0" fontId="0" fillId="2" borderId="6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0" borderId="1" pivotButton="0" quotePrefix="0" xfId="0"/>
    <xf numFmtId="0" fontId="0" fillId="6" borderId="1" pivotButton="0" quotePrefix="0" xfId="0"/>
    <xf numFmtId="2" fontId="0" fillId="2" borderId="1" pivotButton="0" quotePrefix="0" xfId="0"/>
    <xf numFmtId="2" fontId="0" fillId="0" borderId="0" pivotButton="0" quotePrefix="0" xfId="0"/>
    <xf numFmtId="0" fontId="2" fillId="0" borderId="1" applyAlignment="1" pivotButton="0" quotePrefix="0" xfId="0">
      <alignment horizontal="center" wrapText="1"/>
    </xf>
    <xf numFmtId="49" fontId="3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textRotation="90" wrapText="1"/>
    </xf>
    <xf numFmtId="49" fontId="5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49" fontId="8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left" wrapText="1" indent="1"/>
    </xf>
    <xf numFmtId="49" fontId="10" fillId="0" borderId="1" applyAlignment="1" pivotButton="0" quotePrefix="0" xfId="0">
      <alignment horizontal="center" vertical="center" wrapText="1"/>
    </xf>
    <xf numFmtId="1" fontId="0" fillId="0" borderId="1" pivotButton="0" quotePrefix="0" xfId="0"/>
    <xf numFmtId="49" fontId="5" fillId="0" borderId="1" applyAlignment="1" pivotButton="0" quotePrefix="0" xfId="0">
      <alignment horizontal="left" wrapText="1" indent="2"/>
    </xf>
    <xf numFmtId="1" fontId="0" fillId="7" borderId="1" pivotButton="0" quotePrefix="0" xfId="0"/>
    <xf numFmtId="0" fontId="0" fillId="0" borderId="0" applyAlignment="1" pivotButton="0" quotePrefix="0" xfId="0">
      <alignment horizontal="right"/>
    </xf>
    <xf numFmtId="58" fontId="0" fillId="8" borderId="0" pivotButton="0" quotePrefix="0" xfId="0"/>
    <xf numFmtId="58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wrapText="1"/>
    </xf>
    <xf numFmtId="2" fontId="0" fillId="6" borderId="1" pivotButton="0" quotePrefix="0" xfId="0"/>
    <xf numFmtId="2" fontId="0" fillId="0" borderId="1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smooth val="1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ru-RU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ru-RU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smooth val="1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ru-RU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ru-RU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smooth val="1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ru-RU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ru-RU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Март!$B$4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Март!$C$4:$G$4</f>
              <numCache>
                <formatCode>General</formatCode>
                <ptCount val="5"/>
                <pt idx="0">
                  <v>15</v>
                </pt>
                <pt idx="1">
                  <v>10</v>
                </pt>
                <pt idx="2">
                  <v>11</v>
                </pt>
                <pt idx="3">
                  <v>13</v>
                </pt>
                <pt idx="4">
                  <v>3</v>
                </pt>
              </numCache>
            </numRef>
          </val>
          <smooth val="0"/>
        </ser>
        <ser>
          <idx val="1"/>
          <order val="1"/>
          <tx>
            <strRef>
              <f>Март!$B$5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Март!$C$5:$G$5</f>
              <numCache>
                <formatCode>General</formatCode>
                <ptCount val="5"/>
                <pt idx="0">
                  <v>7</v>
                </pt>
                <pt idx="1">
                  <v>4</v>
                </pt>
                <pt idx="2">
                  <v>6</v>
                </pt>
                <pt idx="3">
                  <v>9</v>
                </pt>
                <pt idx="4">
                  <v>1</v>
                </pt>
              </numCache>
            </numRef>
          </val>
          <smooth val="0"/>
        </ser>
        <ser>
          <idx val="2"/>
          <order val="2"/>
          <tx>
            <strRef>
              <f>Март!$B$6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Март!$B$7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Март!$C$7:$G$7</f>
              <numCache>
                <formatCode>General</formatCode>
                <ptCount val="5"/>
                <pt idx="0">
                  <v>8</v>
                </pt>
                <pt idx="1">
                  <v>12</v>
                </pt>
                <pt idx="2">
                  <v>10</v>
                </pt>
                <pt idx="3">
                  <v>7</v>
                </pt>
                <pt idx="4">
                  <v>6</v>
                </pt>
              </numCache>
            </numRef>
          </val>
          <smooth val="0"/>
        </ser>
        <ser>
          <idx val="4"/>
          <order val="4"/>
          <tx>
            <strRef>
              <f>Март!$B$8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Март!$C$8:$G$8</f>
              <numCache>
                <formatCode>General</formatCode>
                <ptCount val="5"/>
                <pt idx="0">
                  <v>1</v>
                </pt>
                <pt idx="2">
                  <v>1</v>
                </pt>
                <pt idx="4">
                  <v>1</v>
                </pt>
              </numCache>
            </numRef>
          </val>
          <smooth val="0"/>
        </ser>
        <ser>
          <idx val="5"/>
          <order val="5"/>
          <tx>
            <strRef>
              <f>Март!$B$9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Март!$C$9:$G$9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</numCache>
            </numRef>
          </val>
          <smooth val="0"/>
        </ser>
        <ser>
          <idx val="6"/>
          <order val="6"/>
          <tx>
            <strRef>
              <f>Март!$B$10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Март!$C$10:$G$10</f>
              <numCache>
                <formatCode>General</formatCode>
                <ptCount val="5"/>
                <pt idx="0">
                  <v>1</v>
                </pt>
                <pt idx="2">
                  <v>1</v>
                </pt>
                <pt idx="4">
                  <v>1</v>
                </pt>
              </numCache>
            </numRef>
          </val>
          <smooth val="0"/>
        </ser>
        <ser>
          <idx val="7"/>
          <order val="7"/>
          <tx>
            <strRef>
              <f>Март!$B$11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Март!$C$11:$G$11</f>
              <numCache>
                <formatCode>General</formatCode>
                <ptCount val="5"/>
                <pt idx="0">
                  <v>4</v>
                </pt>
                <pt idx="1">
                  <v>6</v>
                </pt>
                <pt idx="2">
                  <v>2</v>
                </pt>
                <pt idx="3">
                  <v>2</v>
                </pt>
                <pt idx="4">
                  <v>4</v>
                </pt>
              </numCache>
            </numRef>
          </val>
          <smooth val="0"/>
        </ser>
        <ser>
          <idx val="8"/>
          <order val="8"/>
          <tx>
            <strRef>
              <f>Март!$B$12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Март!$C$12:$G$12</f>
              <numCache>
                <formatCode>General</formatCode>
                <ptCount val="5"/>
                <pt idx="0">
                  <v>5</v>
                </pt>
                <pt idx="1">
                  <v>3</v>
                </pt>
                <pt idx="4">
                  <v>1</v>
                </pt>
              </numCache>
            </numRef>
          </val>
          <smooth val="0"/>
        </ser>
        <ser>
          <idx val="9"/>
          <order val="9"/>
          <tx>
            <strRef>
              <f>Март!$B$13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Март!$C$13:$G$13</f>
              <numCache>
                <formatCode>General</formatCode>
                <ptCount val="5"/>
                <pt idx="0">
                  <v>3</v>
                </pt>
                <pt idx="1">
                  <v>2</v>
                </pt>
                <pt idx="3">
                  <v>1</v>
                </pt>
                <pt idx="4">
                  <v>1</v>
                </pt>
              </numCache>
            </numRef>
          </val>
          <smooth val="0"/>
        </ser>
        <ser>
          <idx val="10"/>
          <order val="10"/>
          <tx>
            <strRef>
              <f>Март!$B$14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Март!$C$14:$G$14</f>
              <numCache>
                <formatCode>General</formatCode>
                <ptCount val="5"/>
                <pt idx="0">
                  <v>1</v>
                </pt>
              </numCache>
            </numRef>
          </val>
          <smooth val="0"/>
        </ser>
        <ser>
          <idx val="11"/>
          <order val="11"/>
          <tx>
            <strRef>
              <f>Март!$B$15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Март!$B$16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Март!$C$16:$G$16</f>
              <numCache>
                <formatCode>General</formatCode>
                <ptCount val="5"/>
                <pt idx="1">
                  <v>1</v>
                </pt>
                <pt idx="3">
                  <v>1</v>
                </pt>
                <pt idx="4">
                  <v>1</v>
                </pt>
              </numCache>
            </numRef>
          </val>
          <smooth val="0"/>
        </ser>
        <ser>
          <idx val="13"/>
          <order val="13"/>
          <tx>
            <strRef>
              <f>Март!$B$17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Март!$C$17:$G$17</f>
              <numCache>
                <formatCode>General</formatCode>
                <ptCount val="5"/>
                <pt idx="1">
                  <v>1</v>
                </pt>
                <pt idx="3">
                  <v>1</v>
                </pt>
              </numCache>
            </numRef>
          </val>
          <smooth val="0"/>
        </ser>
        <ser>
          <idx val="14"/>
          <order val="14"/>
          <tx>
            <strRef>
              <f>Март!$B$18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Март!$C$18:$G$18</f>
              <numCache>
                <formatCode>General</formatCode>
                <ptCount val="5"/>
                <pt idx="2">
                  <v>1</v>
                </pt>
              </numCache>
            </numRef>
          </val>
          <smooth val="0"/>
        </ser>
        <ser>
          <idx val="15"/>
          <order val="15"/>
          <tx>
            <strRef>
              <f>Март!$B$19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Март!$C$19:$G$19</f>
              <numCache>
                <formatCode>General</formatCode>
                <ptCount val="5"/>
                <pt idx="0">
                  <v>2</v>
                </pt>
                <pt idx="2">
                  <v>1</v>
                </pt>
              </numCache>
            </numRef>
          </val>
          <smooth val="0"/>
        </ser>
        <ser>
          <idx val="16"/>
          <order val="16"/>
          <tx>
            <strRef>
              <f>Март!$B$20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Март!$B$21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Март!$C$21:$G$21</f>
              <numCache>
                <formatCode>General</formatCode>
                <ptCount val="5"/>
                <pt idx="2">
                  <v>1</v>
                </pt>
                <pt idx="3">
                  <v>1</v>
                </pt>
                <pt idx="4">
                  <v>3</v>
                </pt>
              </numCache>
            </numRef>
          </val>
          <smooth val="0"/>
        </ser>
        <ser>
          <idx val="18"/>
          <order val="18"/>
          <tx>
            <strRef>
              <f>Март!$B$22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Март!$C$22:$G$22</f>
              <numCache>
                <formatCode>General</formatCode>
                <ptCount val="5"/>
                <pt idx="3">
                  <v>1</v>
                </pt>
              </numCache>
            </numRef>
          </val>
          <smooth val="0"/>
        </ser>
        <ser>
          <idx val="19"/>
          <order val="19"/>
          <tx>
            <strRef>
              <f>Март!$B$23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Март!$B$24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Март!$B$25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Март!$B$26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Март!$C$26:$G$26</f>
              <numCache>
                <formatCode>General</formatCode>
                <ptCount val="5"/>
                <pt idx="2">
                  <v>1</v>
                </pt>
              </numCache>
            </numRef>
          </val>
          <smooth val="0"/>
        </ser>
        <ser>
          <idx val="23"/>
          <order val="23"/>
          <tx>
            <strRef>
              <f>Март!$B$27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Март!$C$27:$G$27</f>
              <numCache>
                <formatCode>General</formatCode>
                <ptCount val="5"/>
                <pt idx="3">
                  <v>1</v>
                </pt>
              </numCache>
            </numRef>
          </val>
          <smooth val="0"/>
        </ser>
        <ser>
          <idx val="24"/>
          <order val="24"/>
          <tx>
            <strRef>
              <f>Март!$B$28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Март!$C$28:$G$28</f>
              <numCache>
                <formatCode>General</formatCode>
                <ptCount val="5"/>
                <pt idx="2">
                  <v>1</v>
                </pt>
              </numCache>
            </numRef>
          </val>
          <smooth val="0"/>
        </ser>
        <ser>
          <idx val="25"/>
          <order val="25"/>
          <tx>
            <strRef>
              <f>Март!$B$29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Март!$B$30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Март!$B$31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Март!$B$32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Март!$B$33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Март!$C$33:$G$33</f>
              <numCache>
                <formatCode>General</formatCode>
                <ptCount val="5"/>
                <pt idx="2">
                  <v>1</v>
                </pt>
                <pt idx="3">
                  <v>1</v>
                </pt>
              </numCache>
            </numRef>
          </val>
          <smooth val="0"/>
        </ser>
        <ser>
          <idx val="30"/>
          <order val="30"/>
          <tx>
            <strRef>
              <f>Март!$B$34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Март!$B$35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Март!$B$36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Март!$C$36:$G$36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Апрель!$B$4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Апрель!$C$4:$G$4</f>
              <numCache>
                <formatCode>General</formatCode>
                <ptCount val="5"/>
                <pt idx="0">
                  <v>6</v>
                </pt>
                <pt idx="2">
                  <v>14</v>
                </pt>
                <pt idx="3">
                  <v>9</v>
                </pt>
                <pt idx="4">
                  <v>13</v>
                </pt>
              </numCache>
            </numRef>
          </val>
          <smooth val="0"/>
        </ser>
        <ser>
          <idx val="1"/>
          <order val="1"/>
          <tx>
            <strRef>
              <f>Апрель!$B$5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bevel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Апрель!$C$5:$G$5</f>
              <numCache>
                <formatCode>General</formatCode>
                <ptCount val="5"/>
                <pt idx="0">
                  <v>5</v>
                </pt>
                <pt idx="2">
                  <v>5</v>
                </pt>
                <pt idx="3">
                  <v>5</v>
                </pt>
                <pt idx="4">
                  <v>6</v>
                </pt>
              </numCache>
            </numRef>
          </val>
          <smooth val="0"/>
        </ser>
        <ser>
          <idx val="2"/>
          <order val="2"/>
          <tx>
            <strRef>
              <f>Апрель!$B$6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Апрель!$C$6:$G$6</f>
              <numCache>
                <formatCode>General</formatCode>
                <ptCount val="5"/>
                <pt idx="0">
                  <v>2</v>
                </pt>
                <pt idx="2">
                  <v>2</v>
                </pt>
                <pt idx="3">
                  <v>1</v>
                </pt>
                <pt idx="4">
                  <v>0</v>
                </pt>
              </numCache>
            </numRef>
          </val>
          <smooth val="0"/>
        </ser>
        <ser>
          <idx val="3"/>
          <order val="3"/>
          <tx>
            <strRef>
              <f>Апрель!$B$7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Апрель!$C$7:$G$7</f>
              <numCache>
                <formatCode>General</formatCode>
                <ptCount val="5"/>
                <pt idx="0">
                  <v>4</v>
                </pt>
                <pt idx="2">
                  <v>12</v>
                </pt>
                <pt idx="3">
                  <v>14</v>
                </pt>
                <pt idx="4">
                  <v>11</v>
                </pt>
              </numCache>
            </numRef>
          </val>
          <smooth val="0"/>
        </ser>
        <ser>
          <idx val="4"/>
          <order val="4"/>
          <tx>
            <strRef>
              <f>Апрель!$B$8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Апрель!$C$8:$G$8</f>
              <numCache>
                <formatCode>General</formatCode>
                <ptCount val="5"/>
                <pt idx="0">
                  <v>1</v>
                </pt>
                <pt idx="2">
                  <v>4</v>
                </pt>
                <pt idx="3">
                  <v>4</v>
                </pt>
                <pt idx="4">
                  <v>2</v>
                </pt>
              </numCache>
            </numRef>
          </val>
          <smooth val="0"/>
        </ser>
        <ser>
          <idx val="5"/>
          <order val="5"/>
          <tx>
            <strRef>
              <f>Апрель!$B$9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Апрель!$C$9:$G$9</f>
              <numCache>
                <formatCode>General</formatCode>
                <ptCount val="5"/>
                <pt idx="0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6"/>
          <order val="6"/>
          <tx>
            <strRef>
              <f>Апрель!$B$10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Апрель!$C$10:$G$10</f>
              <numCache>
                <formatCode>General</formatCode>
                <ptCount val="5"/>
                <pt idx="0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7"/>
          <order val="7"/>
          <tx>
            <strRef>
              <f>Апрель!$B$11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Апрель!$C$11:$G$11</f>
              <numCache>
                <formatCode>General</formatCode>
                <ptCount val="5"/>
                <pt idx="0">
                  <v>0</v>
                </pt>
                <pt idx="2">
                  <v>4</v>
                </pt>
                <pt idx="3">
                  <v>5</v>
                </pt>
                <pt idx="4">
                  <v>6</v>
                </pt>
              </numCache>
            </numRef>
          </val>
          <smooth val="0"/>
        </ser>
        <ser>
          <idx val="8"/>
          <order val="8"/>
          <tx>
            <strRef>
              <f>Апрель!$B$12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Апрель!$C$12:$G$12</f>
              <numCache>
                <formatCode>General</formatCode>
                <ptCount val="5"/>
                <pt idx="0">
                  <v>1</v>
                </pt>
                <pt idx="2">
                  <v>2</v>
                </pt>
                <pt idx="3">
                  <v>2</v>
                </pt>
                <pt idx="4">
                  <v>2</v>
                </pt>
              </numCache>
            </numRef>
          </val>
          <smooth val="0"/>
        </ser>
        <ser>
          <idx val="9"/>
          <order val="9"/>
          <tx>
            <strRef>
              <f>Апрель!$B$13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Апрель!$C$13:$G$13</f>
              <numCache>
                <formatCode>General</formatCode>
                <ptCount val="5"/>
                <pt idx="0">
                  <v>0</v>
                </pt>
                <pt idx="2">
                  <v>1</v>
                </pt>
                <pt idx="3">
                  <v>2</v>
                </pt>
                <pt idx="4">
                  <v>1</v>
                </pt>
              </numCache>
            </numRef>
          </val>
          <smooth val="0"/>
        </ser>
        <ser>
          <idx val="10"/>
          <order val="10"/>
          <tx>
            <strRef>
              <f>Апрель!$B$14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Апрель!$C$14:$G$14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3</v>
                </pt>
              </numCache>
            </numRef>
          </val>
          <smooth val="0"/>
        </ser>
        <ser>
          <idx val="11"/>
          <order val="11"/>
          <tx>
            <strRef>
              <f>Апрель!$B$15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Апрель!$C$15:$G$15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12"/>
          <order val="12"/>
          <tx>
            <strRef>
              <f>Апрель!$B$16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Апрель!$C$16:$G$16</f>
              <numCache>
                <formatCode>General</formatCode>
                <ptCount val="5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13"/>
          <order val="13"/>
          <tx>
            <strRef>
              <f>Апрель!$B$17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Апрель!$C$17:$G$17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</numCache>
            </numRef>
          </val>
          <smooth val="0"/>
        </ser>
        <ser>
          <idx val="14"/>
          <order val="14"/>
          <tx>
            <strRef>
              <f>Апрель!$B$18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Апрель!$C$18:$G$18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15"/>
          <order val="15"/>
          <tx>
            <strRef>
              <f>Апрель!$B$19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Апрель!$C$19:$G$19</f>
              <numCache>
                <formatCode>General</formatCode>
                <ptCount val="5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1</v>
                </pt>
              </numCache>
            </numRef>
          </val>
          <smooth val="0"/>
        </ser>
        <ser>
          <idx val="16"/>
          <order val="16"/>
          <tx>
            <strRef>
              <f>Апрель!$B$20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Апрель!$C$20:$G$20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17"/>
          <order val="17"/>
          <tx>
            <strRef>
              <f>Апрель!$B$21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Апрель!$C$21:$G$21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4</v>
                </pt>
                <pt idx="3">
                  <v>3</v>
                </pt>
                <pt idx="4">
                  <v>2</v>
                </pt>
              </numCache>
            </numRef>
          </val>
          <smooth val="0"/>
        </ser>
        <ser>
          <idx val="18"/>
          <order val="18"/>
          <tx>
            <strRef>
              <f>Апрель!$B$22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Апрель!$C$22:$G$22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19"/>
          <order val="19"/>
          <tx>
            <strRef>
              <f>Апрель!$B$23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Апрель!$C$23:$G$23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0"/>
          <order val="20"/>
          <tx>
            <strRef>
              <f>Апрель!$B$24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Апрель!$C$24:$G$24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1"/>
          <order val="21"/>
          <tx>
            <strRef>
              <f>Апрель!$B$25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Апрель!$C$25:$G$25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</v>
                </pt>
                <pt idx="4">
                  <v>0</v>
                </pt>
              </numCache>
            </numRef>
          </val>
          <smooth val="0"/>
        </ser>
        <ser>
          <idx val="22"/>
          <order val="22"/>
          <tx>
            <strRef>
              <f>Апрель!$B$26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Апрель!$C$26:$G$26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3"/>
          <order val="23"/>
          <tx>
            <strRef>
              <f>Апрель!$B$27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Апрель!$C$27:$G$27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4"/>
          <order val="24"/>
          <tx>
            <strRef>
              <f>Апрель!$B$28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Апрель!$C$28:$G$28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5"/>
          <order val="25"/>
          <tx>
            <strRef>
              <f>Апрель!$B$29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Апрель!$C$29:$G$29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6"/>
          <order val="26"/>
          <tx>
            <strRef>
              <f>Апрель!$B$30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Апрель!$C$30:$G$30</f>
              <numCache>
                <formatCode>General</formatCode>
                <ptCount val="5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7"/>
          <order val="27"/>
          <tx>
            <strRef>
              <f>Апрель!$B$31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Апрель!$C$31:$G$31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8"/>
          <order val="28"/>
          <tx>
            <strRef>
              <f>Апрель!$B$32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Апрель!$C$32:$G$32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29"/>
          <order val="29"/>
          <tx>
            <strRef>
              <f>Апрель!$B$33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Апрель!$C$33:$G$33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30"/>
          <order val="30"/>
          <tx>
            <strRef>
              <f>Апрель!$B$34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Апрель!$C$34:$G$34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31"/>
          <order val="31"/>
          <tx>
            <strRef>
              <f>Апрель!$B$35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Апрель!$C$35:$G$35</f>
              <numCache>
                <formatCode>General</formatCode>
                <ptCount val="5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ser>
          <idx val="32"/>
          <order val="32"/>
          <tx>
            <strRef>
              <f>Апрель!$B$36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Апрель!$C$36:$G$36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Май!$B$4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Май!$C$4:$G$4</f>
              <numCache>
                <formatCode>General</formatCode>
                <ptCount val="5"/>
                <pt idx="1">
                  <v>21</v>
                </pt>
                <pt idx="2">
                  <v>9</v>
                </pt>
                <pt idx="3">
                  <v>14</v>
                </pt>
                <pt idx="4">
                  <v>11</v>
                </pt>
              </numCache>
            </numRef>
          </val>
          <smooth val="0"/>
        </ser>
        <ser>
          <idx val="1"/>
          <order val="1"/>
          <tx>
            <strRef>
              <f>Май!$B$5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Май!$C$5:$G$5</f>
              <numCache>
                <formatCode>General</formatCode>
                <ptCount val="5"/>
                <pt idx="1">
                  <v>8</v>
                </pt>
                <pt idx="2">
                  <v>6</v>
                </pt>
                <pt idx="3">
                  <v>7</v>
                </pt>
                <pt idx="4">
                  <v>5</v>
                </pt>
              </numCache>
            </numRef>
          </val>
          <smooth val="0"/>
        </ser>
        <ser>
          <idx val="2"/>
          <order val="2"/>
          <tx>
            <strRef>
              <f>Май!$B$6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Май!$C$6:$G$6</f>
              <numCache>
                <formatCode>General</formatCode>
                <ptCount val="5"/>
                <pt idx="1">
                  <v>3</v>
                </pt>
              </numCache>
            </numRef>
          </val>
          <smooth val="0"/>
        </ser>
        <ser>
          <idx val="3"/>
          <order val="3"/>
          <tx>
            <strRef>
              <f>Май!$B$7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Май!$C$7:$G$7</f>
              <numCache>
                <formatCode>General</formatCode>
                <ptCount val="5"/>
                <pt idx="1">
                  <v>8</v>
                </pt>
                <pt idx="2">
                  <v>11</v>
                </pt>
                <pt idx="3">
                  <v>8</v>
                </pt>
                <pt idx="4">
                  <v>12</v>
                </pt>
              </numCache>
            </numRef>
          </val>
          <smooth val="0"/>
        </ser>
        <ser>
          <idx val="4"/>
          <order val="4"/>
          <tx>
            <strRef>
              <f>Май!$B$8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Май!$C$8:$G$8</f>
              <numCache>
                <formatCode>General</formatCode>
                <ptCount val="5"/>
                <pt idx="1">
                  <v>1</v>
                </pt>
                <pt idx="2">
                  <v>3</v>
                </pt>
                <pt idx="3">
                  <v>1</v>
                </pt>
                <pt idx="4">
                  <v>4</v>
                </pt>
              </numCache>
            </numRef>
          </val>
          <smooth val="0"/>
        </ser>
        <ser>
          <idx val="5"/>
          <order val="5"/>
          <tx>
            <strRef>
              <f>Май!$B$9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Май!$C$9:$G$9</f>
              <numCache>
                <formatCode>General</formatCode>
                <ptCount val="5"/>
                <pt idx="3">
                  <v>2</v>
                </pt>
                <pt idx="4">
                  <v>2</v>
                </pt>
              </numCache>
            </numRef>
          </val>
          <smooth val="0"/>
        </ser>
        <ser>
          <idx val="6"/>
          <order val="6"/>
          <tx>
            <strRef>
              <f>Май!$B$10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Май!$C$10:$G$10</f>
              <numCache>
                <formatCode>General</formatCode>
                <ptCount val="5"/>
                <pt idx="2">
                  <v>1</v>
                </pt>
                <pt idx="4">
                  <v>2</v>
                </pt>
              </numCache>
            </numRef>
          </val>
          <smooth val="0"/>
        </ser>
        <ser>
          <idx val="7"/>
          <order val="7"/>
          <tx>
            <strRef>
              <f>Май!$B$11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Май!$C$11:$G$11</f>
              <numCache>
                <formatCode>General</formatCode>
                <ptCount val="5"/>
                <pt idx="1">
                  <v>6</v>
                </pt>
                <pt idx="2">
                  <v>4</v>
                </pt>
                <pt idx="3">
                  <v>5</v>
                </pt>
                <pt idx="4">
                  <v>6</v>
                </pt>
              </numCache>
            </numRef>
          </val>
          <smooth val="0"/>
        </ser>
        <ser>
          <idx val="8"/>
          <order val="8"/>
          <tx>
            <strRef>
              <f>Май!$B$12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Май!$C$12:$G$12</f>
              <numCache>
                <formatCode>General</formatCode>
                <ptCount val="5"/>
                <pt idx="1">
                  <v>1</v>
                </pt>
                <pt idx="3">
                  <v>2</v>
                </pt>
                <pt idx="4">
                  <v>3</v>
                </pt>
              </numCache>
            </numRef>
          </val>
          <smooth val="0"/>
        </ser>
        <ser>
          <idx val="9"/>
          <order val="9"/>
          <tx>
            <strRef>
              <f>Май!$B$13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Май!$C$13:$G$13</f>
              <numCache>
                <formatCode>General</formatCode>
                <ptCount val="5"/>
                <pt idx="1">
                  <v>1</v>
                </pt>
                <pt idx="2">
                  <v>1</v>
                </pt>
                <pt idx="3">
                  <v>3</v>
                </pt>
              </numCache>
            </numRef>
          </val>
          <smooth val="0"/>
        </ser>
        <ser>
          <idx val="10"/>
          <order val="10"/>
          <tx>
            <strRef>
              <f>Май!$B$14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Май!$C$14:$G$14</f>
              <numCache>
                <formatCode>General</formatCode>
                <ptCount val="5"/>
                <pt idx="2">
                  <v>1</v>
                </pt>
              </numCache>
            </numRef>
          </val>
          <smooth val="0"/>
        </ser>
        <ser>
          <idx val="11"/>
          <order val="11"/>
          <tx>
            <strRef>
              <f>Май!$B$15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Май!$B$16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Май!$C$16:$G$16</f>
              <numCache>
                <formatCode>General</formatCode>
                <ptCount val="5"/>
                <pt idx="1">
                  <v>2</v>
                </pt>
                <pt idx="4">
                  <v>1</v>
                </pt>
              </numCache>
            </numRef>
          </val>
          <smooth val="0"/>
        </ser>
        <ser>
          <idx val="13"/>
          <order val="13"/>
          <tx>
            <strRef>
              <f>Май!$B$17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Май!$C$17:$G$17</f>
              <numCache>
                <formatCode>General</formatCode>
                <ptCount val="5"/>
                <pt idx="2">
                  <v>1</v>
                </pt>
                <pt idx="3">
                  <v>1</v>
                </pt>
                <pt idx="4">
                  <v>1</v>
                </pt>
              </numCache>
            </numRef>
          </val>
          <smooth val="0"/>
        </ser>
        <ser>
          <idx val="14"/>
          <order val="14"/>
          <tx>
            <strRef>
              <f>Май!$B$18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Май!$C$18:$G$18</f>
              <numCache>
                <formatCode>General</formatCode>
                <ptCount val="5"/>
                <pt idx="4">
                  <v>1</v>
                </pt>
              </numCache>
            </numRef>
          </val>
          <smooth val="0"/>
        </ser>
        <ser>
          <idx val="15"/>
          <order val="15"/>
          <tx>
            <strRef>
              <f>Май!$B$19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Май!$C$19:$G$19</f>
              <numCache>
                <formatCode>General</formatCode>
                <ptCount val="5"/>
                <pt idx="3">
                  <v>1</v>
                </pt>
              </numCache>
            </numRef>
          </val>
          <smooth val="0"/>
        </ser>
        <ser>
          <idx val="16"/>
          <order val="16"/>
          <tx>
            <strRef>
              <f>Май!$B$20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Май!$B$21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Май!$C$21:$G$21</f>
              <numCache>
                <formatCode>General</formatCode>
                <ptCount val="5"/>
                <pt idx="2">
                  <v>1</v>
                </pt>
                <pt idx="3">
                  <v>1</v>
                </pt>
              </numCache>
            </numRef>
          </val>
          <smooth val="0"/>
        </ser>
        <ser>
          <idx val="18"/>
          <order val="18"/>
          <tx>
            <strRef>
              <f>Май!$B$22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Май!$B$23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Май!$C$23:$G$23</f>
              <numCache>
                <formatCode>General</formatCode>
                <ptCount val="5"/>
                <pt idx="4">
                  <v>1</v>
                </pt>
              </numCache>
            </numRef>
          </val>
          <smooth val="0"/>
        </ser>
        <ser>
          <idx val="20"/>
          <order val="20"/>
          <tx>
            <strRef>
              <f>Май!$B$24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Май!$B$25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Май!$B$26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Май!$C$26:$G$26</f>
              <numCache>
                <formatCode>General</formatCode>
                <ptCount val="5"/>
                <pt idx="1">
                  <v>1</v>
                </pt>
                <pt idx="2">
                  <v>1</v>
                </pt>
              </numCache>
            </numRef>
          </val>
          <smooth val="0"/>
        </ser>
        <ser>
          <idx val="23"/>
          <order val="23"/>
          <tx>
            <strRef>
              <f>Май!$B$27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Май!$C$27:$G$27</f>
              <numCache>
                <formatCode>General</formatCode>
                <ptCount val="5"/>
                <pt idx="1">
                  <v>1</v>
                </pt>
                <pt idx="2">
                  <v>1</v>
                </pt>
              </numCache>
            </numRef>
          </val>
          <smooth val="0"/>
        </ser>
        <ser>
          <idx val="24"/>
          <order val="24"/>
          <tx>
            <strRef>
              <f>Май!$B$28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Май!$B$29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Май!$B$30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Май!$C$30:$G$30</f>
              <numCache>
                <formatCode>General</formatCode>
                <ptCount val="5"/>
                <pt idx="1">
                  <v>1</v>
                </pt>
              </numCache>
            </numRef>
          </val>
          <smooth val="0"/>
        </ser>
        <ser>
          <idx val="27"/>
          <order val="27"/>
          <tx>
            <strRef>
              <f>Май!$B$31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Май!$B$32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Май!$B$33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Май!$C$33:$G$33</f>
              <numCache>
                <formatCode>General</formatCode>
                <ptCount val="5"/>
                <pt idx="1">
                  <v>1</v>
                </pt>
                <pt idx="2">
                  <v>1</v>
                </pt>
              </numCache>
            </numRef>
          </val>
          <smooth val="0"/>
        </ser>
        <ser>
          <idx val="30"/>
          <order val="30"/>
          <tx>
            <strRef>
              <f>Май!$B$34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Май!$B$35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Май!$B$36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Май!$C$36:$G$36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Июнь!$B$4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Июнь!$B$5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Июнь!$B$6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Июнь!$B$7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Июнь!$B$8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Июнь!$B$9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Июнь!$B$10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Июнь!$B$11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Июнь!$B$12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Июнь!$B$13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Июнь!$B$14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Июнь!$B$15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Июнь!$B$16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Июнь!$B$17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Июнь!$B$18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Июнь!$B$19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Июнь!$B$20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Июнь!$B$21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Июнь!$B$22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Июнь!$B$23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Июнь!$B$24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Июнь!$B$25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Июнь!$B$26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Июнь!$B$27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Июнь!$B$28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Июнь!$B$29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Июнь!$B$30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Июнь!$B$31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Июнь!$B$32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Июнь!$B$33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Июнь!$B$34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Июнь!$B$35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Июнь!$B$36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Июнь!$C$36:$G$36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Июль!$B$4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Июль!$B$5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Июль!$B$6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Июль!$B$7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Июль!$B$8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Июль!$B$9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Июль!$B$10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Июль!$B$11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Июль!$B$12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Июль!$B$13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Июль!$B$14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Июль!$B$15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Июль!$B$16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Июль!$B$17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Июль!$B$18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Июль!$B$19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Июль!$B$20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Июль!$B$21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Июль!$B$22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Июль!$B$23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Июль!$B$24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Июль!$B$25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Июль!$B$26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Июль!$B$27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Июль!$B$28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Июль!$B$29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Июль!$B$30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Июль!$B$31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Июль!$B$32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Июль!$B$33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Июль!$B$34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Июль!$B$35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Июль!$B$36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Июль!$C$36:$G$36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Август!$B$4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Август!$B$5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Август!$B$6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bevel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Август!$B$7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Август!$B$8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Август!$B$9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Август!$B$10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Август!$B$11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Август!$B$12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Август!$B$13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Август!$B$14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Август!$B$15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Август!$B$16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Август!$B$17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Август!$B$18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Август!$B$19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Август!$B$20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Август!$B$21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Август!$B$22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Август!$B$23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Август!$B$24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Август!$B$25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Август!$B$26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Август!$B$27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Август!$B$28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Август!$B$29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Август!$B$30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Август!$B$31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Август!$B$32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Август!$B$33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Август!$B$34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Август!$B$35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Август!$B$36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Август!$C$36:$G$36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Сентябрь!$B$4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Сентябрь!$B$5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Сентябрь!$B$6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Сентябрь!$B$7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Сентябрь!$B$8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Сентябрь!$B$9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Сентябрь!$B$10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Сентябрь!$B$11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Сентябрь!$B$12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Сентябрь!$B$13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Сентябрь!$B$14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Сентябрь!$B$15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Сентябрь!$B$16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Сентябрь!$B$17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Сентябрь!$B$18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Сентябрь!$B$19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Сентябрь!$B$20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Сентябрь!$B$21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Сентябрь!$B$22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Сентябрь!$B$23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Сентябрь!$B$24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Сентябрь!$B$25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Сентябрь!$B$26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Сентябрь!$B$27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Сентябрь!$B$28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Сентябрь!$B$29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Сентябрь!$B$30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Сентябрь!$B$31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Сентябрь!$B$32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Сентябрь!$B$33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Сентябрь!$B$34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Сентябрь!$B$35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Сентябрь!$B$36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Сентябрь!$C$36:$G$36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'Октябрь '!$B$4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'Октябрь '!$B$5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'Октябрь '!$B$6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'Октябрь '!$B$7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'Октябрь '!$B$8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'Октябрь '!$B$9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'Октябрь '!$B$10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'Октябрь '!$B$11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'Октябрь '!$B$12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'Октябрь '!$B$13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'Октябрь '!$B$14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'Октябрь '!$B$15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'Октябрь '!$B$16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'Октябрь '!$B$17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'Октябрь '!$B$18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'Октябрь '!$B$19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'Октябрь '!$B$20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'Октябрь '!$B$21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'Октябрь '!$B$22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'Октябрь '!$B$23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'Октябрь '!$B$24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'Октябрь '!$B$25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'Октябрь '!$B$26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'Октябрь '!$B$27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'Октябрь '!$B$28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'Октябрь '!$B$29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'Октябрь '!$B$30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'Октябрь '!$B$31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'Октябрь '!$B$32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'Октябрь '!$B$33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'Октябрь '!$B$34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'Октябрь '!$B$35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'Октябрь '!$B$36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'Октябрь '!$C$36:$G$36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Ноябрь!$B$4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Ноябрь!$B$5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Ноябрь!$B$6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Ноябрь!$B$7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Ноябрь!$B$8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Ноябрь!$B$9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Ноябрь!$B$10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Ноябрь!$B$11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Ноябрь!$B$12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Ноябрь!$B$13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Ноябрь!$B$14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Ноябрь!$B$15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Ноябрь!$B$16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Ноябрь!$B$17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Ноябрь!$B$18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Ноябрь!$B$19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Ноябрь!$B$20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Ноябрь!$B$21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Ноябрь!$B$22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Ноябрь!$B$23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Ноябрь!$B$24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Ноябрь!$B$25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Ноябрь!$B$26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Ноябрь!$B$27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Ноябрь!$B$28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Ноябрь!$B$29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Ноябрь!$B$30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Ноябрь!$B$31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Ноябрь!$B$32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Ноябрь!$B$33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Ноябрь!$B$34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Ноябрь!$B$35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Ноябрь!$B$36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Ноябрь!$B$37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Ноябрь!$C$37:$G$37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bevel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Декабрь!$B$4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Декабрь!$C$4:$G$4</f>
              <numCache>
                <formatCode>General</formatCode>
                <ptCount val="5"/>
              </numCache>
            </numRef>
          </val>
          <smooth val="0"/>
        </ser>
        <ser>
          <idx val="1"/>
          <order val="1"/>
          <tx>
            <strRef>
              <f>Декабрь!$B$5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Декабрь!$C$5:$G$5</f>
              <numCache>
                <formatCode>General</formatCode>
                <ptCount val="5"/>
              </numCache>
            </numRef>
          </val>
          <smooth val="0"/>
        </ser>
        <ser>
          <idx val="2"/>
          <order val="2"/>
          <tx>
            <strRef>
              <f>Декабрь!$B$6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  <a:bevel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Декабрь!$C$6:$G$6</f>
              <numCache>
                <formatCode>General</formatCode>
                <ptCount val="5"/>
              </numCache>
            </numRef>
          </val>
          <smooth val="0"/>
        </ser>
        <ser>
          <idx val="3"/>
          <order val="3"/>
          <tx>
            <strRef>
              <f>Декабрь!$B$7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Декабрь!$C$7:$G$7</f>
              <numCache>
                <formatCode>General</formatCode>
                <ptCount val="5"/>
              </numCache>
            </numRef>
          </val>
          <smooth val="0"/>
        </ser>
        <ser>
          <idx val="4"/>
          <order val="4"/>
          <tx>
            <strRef>
              <f>Декабрь!$B$8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Декабрь!$C$8:$G$8</f>
              <numCache>
                <formatCode>General</formatCode>
                <ptCount val="5"/>
              </numCache>
            </numRef>
          </val>
          <smooth val="0"/>
        </ser>
        <ser>
          <idx val="5"/>
          <order val="5"/>
          <tx>
            <strRef>
              <f>Декабрь!$B$9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Декабрь!$C$9:$G$9</f>
              <numCache>
                <formatCode>General</formatCode>
                <ptCount val="5"/>
              </numCache>
            </numRef>
          </val>
          <smooth val="0"/>
        </ser>
        <ser>
          <idx val="6"/>
          <order val="6"/>
          <tx>
            <strRef>
              <f>Декабрь!$B$10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Декабрь!$C$10:$G$10</f>
              <numCache>
                <formatCode>General</formatCode>
                <ptCount val="5"/>
              </numCache>
            </numRef>
          </val>
          <smooth val="0"/>
        </ser>
        <ser>
          <idx val="7"/>
          <order val="7"/>
          <tx>
            <strRef>
              <f>Декабрь!$B$11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Декабрь!$C$11:$G$11</f>
              <numCache>
                <formatCode>General</formatCode>
                <ptCount val="5"/>
              </numCache>
            </numRef>
          </val>
          <smooth val="0"/>
        </ser>
        <ser>
          <idx val="8"/>
          <order val="8"/>
          <tx>
            <strRef>
              <f>Декабрь!$B$12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Декабрь!$C$12:$G$12</f>
              <numCache>
                <formatCode>General</formatCode>
                <ptCount val="5"/>
              </numCache>
            </numRef>
          </val>
          <smooth val="0"/>
        </ser>
        <ser>
          <idx val="9"/>
          <order val="9"/>
          <tx>
            <strRef>
              <f>Декабрь!$B$13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Декабрь!$C$13:$G$13</f>
              <numCache>
                <formatCode>General</formatCode>
                <ptCount val="5"/>
              </numCache>
            </numRef>
          </val>
          <smooth val="0"/>
        </ser>
        <ser>
          <idx val="10"/>
          <order val="10"/>
          <tx>
            <strRef>
              <f>Декабрь!$B$14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Декабрь!$C$14:$G$14</f>
              <numCache>
                <formatCode>General</formatCode>
                <ptCount val="5"/>
              </numCache>
            </numRef>
          </val>
          <smooth val="0"/>
        </ser>
        <ser>
          <idx val="11"/>
          <order val="11"/>
          <tx>
            <strRef>
              <f>Декабрь!$B$15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Декабрь!$C$15:$G$15</f>
              <numCache>
                <formatCode>General</formatCode>
                <ptCount val="5"/>
              </numCache>
            </numRef>
          </val>
          <smooth val="0"/>
        </ser>
        <ser>
          <idx val="12"/>
          <order val="12"/>
          <tx>
            <strRef>
              <f>Декабрь!$B$16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Декабрь!$C$16:$G$16</f>
              <numCache>
                <formatCode>General</formatCode>
                <ptCount val="5"/>
              </numCache>
            </numRef>
          </val>
          <smooth val="0"/>
        </ser>
        <ser>
          <idx val="13"/>
          <order val="13"/>
          <tx>
            <strRef>
              <f>Декабрь!$B$17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Декабрь!$C$17:$G$17</f>
              <numCache>
                <formatCode>General</formatCode>
                <ptCount val="5"/>
              </numCache>
            </numRef>
          </val>
          <smooth val="0"/>
        </ser>
        <ser>
          <idx val="14"/>
          <order val="14"/>
          <tx>
            <strRef>
              <f>Декабрь!$B$18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Декабрь!$C$18:$G$18</f>
              <numCache>
                <formatCode>General</formatCode>
                <ptCount val="5"/>
              </numCache>
            </numRef>
          </val>
          <smooth val="0"/>
        </ser>
        <ser>
          <idx val="15"/>
          <order val="15"/>
          <tx>
            <strRef>
              <f>Декабрь!$B$19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Декабрь!$C$19:$G$19</f>
              <numCache>
                <formatCode>General</formatCode>
                <ptCount val="5"/>
              </numCache>
            </numRef>
          </val>
          <smooth val="0"/>
        </ser>
        <ser>
          <idx val="16"/>
          <order val="16"/>
          <tx>
            <strRef>
              <f>Декабрь!$B$20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Декабрь!$C$20:$G$20</f>
              <numCache>
                <formatCode>General</formatCode>
                <ptCount val="5"/>
              </numCache>
            </numRef>
          </val>
          <smooth val="0"/>
        </ser>
        <ser>
          <idx val="17"/>
          <order val="17"/>
          <tx>
            <strRef>
              <f>Декабрь!$B$21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Декабрь!$C$21:$G$21</f>
              <numCache>
                <formatCode>General</formatCode>
                <ptCount val="5"/>
              </numCache>
            </numRef>
          </val>
          <smooth val="0"/>
        </ser>
        <ser>
          <idx val="18"/>
          <order val="18"/>
          <tx>
            <strRef>
              <f>Декабрь!$B$22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Декабрь!$C$22:$G$22</f>
              <numCache>
                <formatCode>General</formatCode>
                <ptCount val="5"/>
              </numCache>
            </numRef>
          </val>
          <smooth val="0"/>
        </ser>
        <ser>
          <idx val="19"/>
          <order val="19"/>
          <tx>
            <strRef>
              <f>Декабрь!$B$23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Декабрь!$C$23:$G$23</f>
              <numCache>
                <formatCode>General</formatCode>
                <ptCount val="5"/>
              </numCache>
            </numRef>
          </val>
          <smooth val="0"/>
        </ser>
        <ser>
          <idx val="20"/>
          <order val="20"/>
          <tx>
            <strRef>
              <f>Декабрь!$B$24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Декабрь!$C$24:$G$24</f>
              <numCache>
                <formatCode>General</formatCode>
                <ptCount val="5"/>
              </numCache>
            </numRef>
          </val>
          <smooth val="0"/>
        </ser>
        <ser>
          <idx val="21"/>
          <order val="21"/>
          <tx>
            <strRef>
              <f>Декабрь!$B$25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Декабрь!$C$25:$G$25</f>
              <numCache>
                <formatCode>General</formatCode>
                <ptCount val="5"/>
              </numCache>
            </numRef>
          </val>
          <smooth val="0"/>
        </ser>
        <ser>
          <idx val="22"/>
          <order val="22"/>
          <tx>
            <strRef>
              <f>Декабрь!$B$26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Декабрь!$C$26:$G$26</f>
              <numCache>
                <formatCode>General</formatCode>
                <ptCount val="5"/>
              </numCache>
            </numRef>
          </val>
          <smooth val="0"/>
        </ser>
        <ser>
          <idx val="23"/>
          <order val="23"/>
          <tx>
            <strRef>
              <f>Декабрь!$B$27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Декабрь!$C$27:$G$27</f>
              <numCache>
                <formatCode>General</formatCode>
                <ptCount val="5"/>
              </numCache>
            </numRef>
          </val>
          <smooth val="0"/>
        </ser>
        <ser>
          <idx val="24"/>
          <order val="24"/>
          <tx>
            <strRef>
              <f>Декабрь!$B$28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Декабрь!$C$28:$G$28</f>
              <numCache>
                <formatCode>General</formatCode>
                <ptCount val="5"/>
              </numCache>
            </numRef>
          </val>
          <smooth val="0"/>
        </ser>
        <ser>
          <idx val="25"/>
          <order val="25"/>
          <tx>
            <strRef>
              <f>Декабрь!$B$29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Декабрь!$C$29:$G$29</f>
              <numCache>
                <formatCode>General</formatCode>
                <ptCount val="5"/>
              </numCache>
            </numRef>
          </val>
          <smooth val="0"/>
        </ser>
        <ser>
          <idx val="26"/>
          <order val="26"/>
          <tx>
            <strRef>
              <f>Декабрь!$B$30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Декабрь!$C$30:$G$30</f>
              <numCache>
                <formatCode>General</formatCode>
                <ptCount val="5"/>
              </numCache>
            </numRef>
          </val>
          <smooth val="0"/>
        </ser>
        <ser>
          <idx val="27"/>
          <order val="27"/>
          <tx>
            <strRef>
              <f>Декабрь!$B$31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Декабрь!$C$31:$G$31</f>
              <numCache>
                <formatCode>General</formatCode>
                <ptCount val="5"/>
              </numCache>
            </numRef>
          </val>
          <smooth val="0"/>
        </ser>
        <ser>
          <idx val="28"/>
          <order val="28"/>
          <tx>
            <strRef>
              <f>Декабрь!$B$32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Декабрь!$C$32:$G$32</f>
              <numCache>
                <formatCode>General</formatCode>
                <ptCount val="5"/>
              </numCache>
            </numRef>
          </val>
          <smooth val="0"/>
        </ser>
        <ser>
          <idx val="29"/>
          <order val="29"/>
          <tx>
            <strRef>
              <f>Декабрь!$B$33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Декабрь!$C$33:$G$33</f>
              <numCache>
                <formatCode>General</formatCode>
                <ptCount val="5"/>
              </numCache>
            </numRef>
          </val>
          <smooth val="0"/>
        </ser>
        <ser>
          <idx val="30"/>
          <order val="30"/>
          <tx>
            <strRef>
              <f>Декабрь!$B$34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Декабрь!$C$34:$G$34</f>
              <numCache>
                <formatCode>General</formatCode>
                <ptCount val="5"/>
              </numCache>
            </numRef>
          </val>
          <smooth val="0"/>
        </ser>
        <ser>
          <idx val="31"/>
          <order val="31"/>
          <tx>
            <strRef>
              <f>Декабрь!$B$35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Декабрь!$C$35:$G$35</f>
              <numCache>
                <formatCode>General</formatCode>
                <ptCount val="5"/>
              </numCache>
            </numRef>
          </val>
          <smooth val="0"/>
        </ser>
        <ser>
          <idx val="32"/>
          <order val="32"/>
          <tx>
            <strRef>
              <f>Декабрь!$B$36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Декабрь!$C$36:$G$36</f>
              <numCache>
                <formatCode>General</formatCode>
                <ptCount val="5"/>
              </numCache>
            </numRef>
          </val>
          <smooth val="0"/>
        </ser>
        <ser>
          <idx val="33"/>
          <order val="33"/>
          <tx>
            <strRef>
              <f>Декабрь!$B$37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Декабрь!$C$37:$G$37</f>
              <numCache>
                <formatCode>General</formatCode>
                <ptCount val="5"/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'График Общий'!$B$4</f>
              <strCache>
                <ptCount val="1"/>
                <pt idx="0">
                  <v>Аденотомия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Общий'!$D$4:$O$4</f>
              <numCache>
                <formatCode>General</formatCode>
                <ptCount val="12"/>
                <pt idx="0">
                  <v>34</v>
                </pt>
                <pt idx="1">
                  <v>57</v>
                </pt>
                <pt idx="2">
                  <v>52</v>
                </pt>
                <pt idx="3">
                  <v>42</v>
                </pt>
                <pt idx="4">
                  <v>55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'График Общий'!$B$5</f>
              <strCache>
                <ptCount val="1"/>
                <pt idx="0">
                  <v>Тонзиллотомия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Общий'!$D$5:$O$5</f>
              <numCache>
                <formatCode>General</formatCode>
                <ptCount val="12"/>
                <pt idx="0">
                  <v>12</v>
                </pt>
                <pt idx="1">
                  <v>30</v>
                </pt>
                <pt idx="2">
                  <v>27</v>
                </pt>
                <pt idx="3">
                  <v>21</v>
                </pt>
                <pt idx="4">
                  <v>26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'График Общий'!$B$6</f>
              <strCache>
                <ptCount val="1"/>
                <pt idx="0">
                  <v>Миринготомия план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Общий'!$D$6:$O$6</f>
              <numCache>
                <formatCode>General</formatCode>
                <ptCount val="12"/>
                <pt idx="0">
                  <v>0</v>
                </pt>
                <pt idx="1">
                  <v>3</v>
                </pt>
                <pt idx="2">
                  <v>0</v>
                </pt>
                <pt idx="3">
                  <v>5</v>
                </pt>
                <pt idx="4">
                  <v>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'График Общий'!$B$7</f>
              <strCache>
                <ptCount val="1"/>
                <pt idx="0">
                  <v>Пластика раковин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Общий'!$D$7:$O$7</f>
              <numCache>
                <formatCode>General</formatCode>
                <ptCount val="12"/>
                <pt idx="0">
                  <v>14</v>
                </pt>
                <pt idx="1">
                  <v>44</v>
                </pt>
                <pt idx="2">
                  <v>43</v>
                </pt>
                <pt idx="3">
                  <v>41</v>
                </pt>
                <pt idx="4">
                  <v>39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'График Общий'!$B$8</f>
              <strCache>
                <ptCount val="1"/>
                <pt idx="0">
                  <v>ПТА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Общий'!$D$8:$O$8</f>
              <numCache>
                <formatCode>General</formatCode>
                <ptCount val="12"/>
                <pt idx="0">
                  <v>9</v>
                </pt>
                <pt idx="1">
                  <v>7</v>
                </pt>
                <pt idx="2">
                  <v>3</v>
                </pt>
                <pt idx="3">
                  <v>11</v>
                </pt>
                <pt idx="4">
                  <v>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'График Общий'!$B$9</f>
              <strCache>
                <ptCount val="1"/>
                <pt idx="0">
                  <v>Миринготомия экстр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Общий'!$D$9:$O$9</f>
              <numCache>
                <formatCode>General</formatCode>
                <ptCount val="12"/>
                <pt idx="0">
                  <v>1</v>
                </pt>
                <pt idx="1">
                  <v>5</v>
                </pt>
                <pt idx="2">
                  <v>9</v>
                </pt>
                <pt idx="3">
                  <v>0</v>
                </pt>
                <pt idx="4">
                  <v>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6"/>
          <order val="6"/>
          <tx>
            <strRef>
              <f>'График Общий'!$B$10</f>
              <strCache>
                <ptCount val="1"/>
                <pt idx="0">
                  <v>Полипотомия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Общий'!$D$10:$O$10</f>
              <numCache>
                <formatCode>General</formatCode>
                <ptCount val="12"/>
                <pt idx="0">
                  <v>0</v>
                </pt>
                <pt idx="1">
                  <v>2</v>
                </pt>
                <pt idx="2">
                  <v>3</v>
                </pt>
                <pt idx="3">
                  <v>1</v>
                </pt>
                <pt idx="4">
                  <v>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'График Общий'!$B$11</f>
              <strCache>
                <ptCount val="1"/>
                <pt idx="0">
                  <v>Септопластика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Общий'!$D$11:$O$11</f>
              <numCache>
                <formatCode>General</formatCode>
                <ptCount val="12"/>
                <pt idx="0">
                  <v>7</v>
                </pt>
                <pt idx="1">
                  <v>22</v>
                </pt>
                <pt idx="2">
                  <v>18</v>
                </pt>
                <pt idx="3">
                  <v>15</v>
                </pt>
                <pt idx="4">
                  <v>21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8"/>
          <order val="8"/>
          <tx>
            <strRef>
              <f>'График Общий'!$B$12</f>
              <strCache>
                <ptCount val="1"/>
                <pt idx="0">
                  <v>Гайморотомия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Общий'!$D$12:$O$12</f>
              <numCache>
                <formatCode>General</formatCode>
                <ptCount val="12"/>
                <pt idx="0">
                  <v>3</v>
                </pt>
                <pt idx="1">
                  <v>11</v>
                </pt>
                <pt idx="2">
                  <v>9</v>
                </pt>
                <pt idx="3">
                  <v>7</v>
                </pt>
                <pt idx="4">
                  <v>6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'График Общий'!$B$13</f>
              <strCache>
                <ptCount val="1"/>
                <pt idx="0">
                  <v>Тозиллэктомия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Общий'!$D$13:$O$13</f>
              <numCache>
                <formatCode>General</formatCode>
                <ptCount val="12"/>
                <pt idx="0">
                  <v>9</v>
                </pt>
                <pt idx="1">
                  <v>7</v>
                </pt>
                <pt idx="2">
                  <v>7</v>
                </pt>
                <pt idx="3">
                  <v>4</v>
                </pt>
                <pt idx="4">
                  <v>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0"/>
          <order val="10"/>
          <tx>
            <strRef>
              <f>'График Общий'!$B$14</f>
              <strCache>
                <ptCount val="1"/>
                <pt idx="0">
                  <v>Увулопластика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Общий'!$D$14:$O$14</f>
              <numCache>
                <formatCode>General</formatCode>
                <ptCount val="12"/>
                <pt idx="0">
                  <v>0</v>
                </pt>
                <pt idx="1">
                  <v>2</v>
                </pt>
                <pt idx="2">
                  <v>1</v>
                </pt>
                <pt idx="3">
                  <v>4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1"/>
          <order val="11"/>
          <tx>
            <strRef>
              <f>'График Общий'!$B$15</f>
              <strCache>
                <ptCount val="1"/>
                <pt idx="0">
                  <v>Пластика нёба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Общий'!$D$15:$O$15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2"/>
          <order val="12"/>
          <tx>
            <strRef>
              <f>'График Общий'!$B$16</f>
              <strCache>
                <ptCount val="1"/>
                <pt idx="0">
                  <v>Фурункул НСП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Общий'!$D$16:$O$16</f>
              <numCache>
                <formatCode>General</formatCode>
                <ptCount val="12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3</v>
                </pt>
                <pt idx="4">
                  <v>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3"/>
          <order val="13"/>
          <tx>
            <strRef>
              <f>'График Общий'!$B$17</f>
              <strCache>
                <ptCount val="1"/>
                <pt idx="0">
                  <v>Фурункул носа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Общий'!$D$17:$O$17</f>
              <numCache>
                <formatCode>General</formatCode>
                <ptCount val="12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4"/>
          <order val="14"/>
          <tx>
            <strRef>
              <f>'График Общий'!$B$18</f>
              <strCache>
                <ptCount val="1"/>
                <pt idx="0">
                  <v>Трахеостомия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Общий'!$D$18:$O$18</f>
              <numCache>
                <formatCode>General</formatCode>
                <ptCount val="12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5"/>
          <order val="15"/>
          <tx>
            <strRef>
              <f>'График Общий'!$B$19</f>
              <strCache>
                <ptCount val="1"/>
                <pt idx="0">
                  <v>Репозиция костей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Общий'!$D$19:$O$19</f>
              <numCache>
                <formatCode>General</formatCode>
                <ptCount val="12"/>
                <pt idx="0">
                  <v>1</v>
                </pt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6"/>
          <order val="16"/>
          <tx>
            <strRef>
              <f>'График Общий'!$B$20</f>
              <strCache>
                <ptCount val="1"/>
                <pt idx="0">
                  <v>Флегмона шеи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Общий'!$D$20:$O$20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7"/>
          <order val="17"/>
          <tx>
            <strRef>
              <f>'График Общий'!$B$21</f>
              <strCache>
                <ptCount val="1"/>
                <pt idx="0">
                  <v>Остановка кров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Общий'!$D$21:$O$21</f>
              <numCache>
                <formatCode>General</formatCode>
                <ptCount val="12"/>
                <pt idx="0">
                  <v>3</v>
                </pt>
                <pt idx="1">
                  <v>1</v>
                </pt>
                <pt idx="2">
                  <v>5</v>
                </pt>
                <pt idx="3">
                  <v>9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8"/>
          <order val="18"/>
          <tx>
            <strRef>
              <f>'График Общий'!$B$22</f>
              <strCache>
                <ptCount val="1"/>
                <pt idx="0">
                  <v>Рубцы мочки уха</v>
                </pt>
              </strCache>
            </strRef>
          </tx>
          <spPr>
            <a:ln w="28575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</a:schemeClr>
              </a:solidFill>
              <a:ln w="9525" cap="flat" cmpd="sng" algn="ctr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Общий'!$D$22:$O$22</f>
              <numCache>
                <formatCode>General</formatCode>
                <ptCount val="12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9"/>
          <order val="19"/>
          <tx>
            <strRef>
              <f>'График Общий'!$B$23</f>
              <strCache>
                <ptCount val="1"/>
                <pt idx="0">
                  <v>Синехии нос</v>
                </pt>
              </strCache>
            </strRef>
          </tx>
          <spPr>
            <a:ln w="28575" cap="rnd" cmpd="sng" algn="ctr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</a:schemeClr>
              </a:solidFill>
              <a:ln w="9525" cap="flat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Общий'!$D$23:$O$23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0"/>
          <order val="20"/>
          <tx>
            <strRef>
              <f>'График Общий'!$B$24</f>
              <strCache>
                <ptCount val="1"/>
                <pt idx="0">
                  <v>Антромастоидотомия</v>
                </pt>
              </strCache>
            </strRef>
          </tx>
          <spPr>
            <a:ln w="28575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</a:schemeClr>
              </a:solidFill>
              <a:ln w="9525" cap="flat" cmpd="sng" algn="ctr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Общий'!$D$24:$O$24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1"/>
          <order val="21"/>
          <tx>
            <strRef>
              <f>'График Общий'!$B$25</f>
              <strCache>
                <ptCount val="1"/>
                <pt idx="0">
                  <v>Удаление новообр носа</v>
                </pt>
              </strCache>
            </strRef>
          </tx>
          <spPr>
            <a:ln w="28575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</a:schemeClr>
              </a:solidFill>
              <a:ln w="9525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Общий'!$D$25:$O$25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2"/>
          <order val="22"/>
          <tx>
            <strRef>
              <f>'График Общий'!$B$26</f>
              <strCache>
                <ptCount val="1"/>
                <pt idx="0">
                  <v>Удаление новообр уха</v>
                </pt>
              </strCache>
            </strRef>
          </tx>
          <spPr>
            <a:ln w="28575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</a:schemeClr>
              </a:solidFill>
              <a:ln w="9525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Общий'!$D$26:$O$26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1</v>
                </pt>
                <pt idx="3">
                  <v>0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3"/>
          <order val="23"/>
          <tx>
            <strRef>
              <f>'График Общий'!$B$27</f>
              <strCache>
                <ptCount val="1"/>
                <pt idx="0">
                  <v>Удаление новообр глотки</v>
                </pt>
              </strCache>
            </strRef>
          </tx>
          <spPr>
            <a:ln w="28575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80000"/>
                </a:schemeClr>
              </a:solidFill>
              <a:ln w="9525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Общий'!$D$27:$O$27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4"/>
          <order val="24"/>
          <tx>
            <strRef>
              <f>'График Общий'!$B$28</f>
              <strCache>
                <ptCount val="1"/>
                <pt idx="0">
                  <v>Удаление новообр гортани</v>
                </pt>
              </strCache>
            </strRef>
          </tx>
          <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Общий'!$D$28:$O$28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5"/>
          <order val="25"/>
          <tx>
            <strRef>
              <f>'График Общий'!$B$29</f>
              <strCache>
                <ptCount val="1"/>
                <pt idx="0">
                  <v>ПХО</v>
                </pt>
              </strCache>
            </strRef>
          </tx>
          <spPr>
            <a:ln w="28575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Общий'!$D$29:$O$29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6"/>
          <order val="26"/>
          <tx>
            <strRef>
              <f>'График Общий'!$B$30</f>
              <strCache>
                <ptCount val="1"/>
                <pt idx="0">
                  <v>Удаление инородного тела</v>
                </pt>
              </strCache>
            </strRef>
          </tx>
          <spPr>
            <a:ln w="28575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Общий'!$D$30:$O$30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3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7"/>
          <order val="27"/>
          <tx>
            <strRef>
              <f>'График Общий'!$B$31</f>
              <strCache>
                <ptCount val="1"/>
                <pt idx="0">
                  <v>Фронтотомия</v>
                </pt>
              </strCache>
            </strRef>
          </tx>
          <spPr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Общий'!$D$31:$O$31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8"/>
          <order val="28"/>
          <tx>
            <strRef>
              <f>'График Общий'!$B$32</f>
              <strCache>
                <ptCount val="1"/>
                <pt idx="0">
                  <v>Субперостальный абсцесс за ухом</v>
                </pt>
              </strCache>
            </strRef>
          </tx>
          <spPr>
            <a:ln w="28575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Общий'!$D$32:$O$32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9"/>
          <order val="29"/>
          <tx>
            <strRef>
              <f>'График Общий'!$B$33</f>
              <strCache>
                <ptCount val="1"/>
                <pt idx="0">
                  <v>Пластика местными тканями</v>
                </pt>
              </strCache>
            </strRef>
          </tx>
          <spPr>
            <a:ln w="28575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Общий'!$D$33:$O$33</f>
              <numCache>
                <formatCode>General</formatCode>
                <ptCount val="12"/>
                <pt idx="0">
                  <v>1</v>
                </pt>
                <pt idx="1">
                  <v>1</v>
                </pt>
                <pt idx="2">
                  <v>2</v>
                </pt>
                <pt idx="3">
                  <v>0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0"/>
          <order val="30"/>
          <tx>
            <strRef>
              <f>'График Общий'!$B$34</f>
              <strCache>
                <ptCount val="1"/>
                <pt idx="0">
                  <v>Ревизия п/о полости</v>
                </pt>
              </strCache>
            </strRef>
          </tx>
          <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Общий'!$D$34:$O$34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1"/>
          <order val="31"/>
          <tx>
            <strRef>
              <f>'График Общий'!$B$35</f>
              <strCache>
                <ptCount val="1"/>
                <pt idx="0">
                  <v>Наложение вторичных швов</v>
                </pt>
              </strCache>
            </strRef>
          </tx>
          <spPr>
            <a:ln w="28575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50000"/>
                </a:schemeClr>
              </a:solidFill>
              <a:ln w="9525" cap="flat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Общий'!$D$35:$O$35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2"/>
          <order val="32"/>
          <tx>
            <strRef>
              <f>'График Общий'!$B$36</f>
              <strCache>
                <ptCount val="1"/>
                <pt idx="0">
                  <v>Заглоточный абсцесс</v>
                </pt>
              </strCache>
            </strRef>
          </tx>
          <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Общий'!$D$36:$O$36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3"/>
          <order val="33"/>
          <tx>
            <strRef>
              <f>'График Общий'!$B$37</f>
              <strCache>
                <ptCount val="1"/>
                <pt idx="0">
                  <v xml:space="preserve">Биопсия гортани </v>
                </pt>
              </strCache>
            </strRef>
          </tx>
          <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Общий'!$D$37:$O$37</f>
              <numCache>
                <formatCode>General</formatCode>
                <ptCount val="12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1"/>
        <minorUnit val="1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'График Общий'!$B$43</f>
              <strCache>
                <ptCount val="1"/>
                <pt idx="0">
                  <v>Дети всего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Общий'!$D$43:$O$43</f>
              <numCache>
                <formatCode>General</formatCode>
                <ptCount val="12"/>
                <pt idx="0">
                  <v>39</v>
                </pt>
                <pt idx="1">
                  <v>62</v>
                </pt>
                <pt idx="2">
                  <v>57</v>
                </pt>
                <pt idx="3">
                  <v>58</v>
                </pt>
                <pt idx="4">
                  <v>61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'График Общий'!$B$44</f>
              <strCache>
                <ptCount val="1"/>
                <pt idx="0">
                  <v xml:space="preserve">Взрослые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'График Общий'!$D$3:$O$3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 xml:space="preserve">Март </v>
                </pt>
                <pt idx="3">
                  <v>Апрель</v>
                </pt>
                <pt idx="4">
                  <v xml:space="preserve">Май 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'График Общий'!$D$44:$O$44</f>
              <numCache>
                <formatCode>General</formatCode>
                <ptCount val="12"/>
                <pt idx="0">
                  <v>41</v>
                </pt>
                <pt idx="1">
                  <v>65</v>
                </pt>
                <pt idx="2">
                  <v>73</v>
                </pt>
                <pt idx="3">
                  <v>82</v>
                </pt>
                <pt idx="4">
                  <v>67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75"/>
        <overlap val="100"/>
        <axId val="805170624"/>
        <axId val="805171040"/>
      </barChart>
      <catAx>
        <axId val="8051706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805171040"/>
        <crosses val="autoZero"/>
        <auto val="1"/>
        <lblAlgn val="ctr"/>
        <lblOffset val="100"/>
        <noMultiLvlLbl val="0"/>
      </catAx>
      <valAx>
        <axId val="805171040"/>
        <scaling>
          <orientation val="minMax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805170624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'График Общий'!$B$40</f>
              <strCache>
                <ptCount val="1"/>
                <pt idx="0">
                  <v>Всего операций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'График Общий'!$D$40:$O$40</f>
              <numCache>
                <formatCode>General</formatCode>
                <ptCount val="12"/>
                <pt idx="0">
                  <v>104</v>
                </pt>
                <pt idx="1">
                  <v>201</v>
                </pt>
                <pt idx="2">
                  <v>192</v>
                </pt>
                <pt idx="3">
                  <v>175</v>
                </pt>
                <pt idx="4">
                  <v>194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'График Общий'!$B$41</f>
              <strCache>
                <ptCount val="1"/>
                <pt idx="0">
                  <v>Экстренно операций</v>
                </pt>
              </strCache>
            </strRef>
          </tx>
          <spPr>
            <a:ln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'График Общий'!$D$41:$O$41</f>
              <numCache>
                <formatCode>General</formatCode>
                <ptCount val="12"/>
                <pt idx="0">
                  <v>20</v>
                </pt>
                <pt idx="1">
                  <v>20</v>
                </pt>
                <pt idx="2">
                  <v>26</v>
                </pt>
                <pt idx="3">
                  <v>32</v>
                </pt>
                <pt idx="4">
                  <v>24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'График Общий'!$B$42</f>
              <strCache>
                <ptCount val="1"/>
                <pt idx="0">
                  <v>План операций</v>
                </pt>
              </strCache>
            </strRef>
          </tx>
          <spPr>
            <a:ln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'График Общий'!$D$42:$O$42</f>
              <numCache>
                <formatCode>General</formatCode>
                <ptCount val="12"/>
                <pt idx="0">
                  <v>84</v>
                </pt>
                <pt idx="1">
                  <v>181</v>
                </pt>
                <pt idx="2">
                  <v>166</v>
                </pt>
                <pt idx="3">
                  <v>143</v>
                </pt>
                <pt idx="4">
                  <v>170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'График Общий'!$B$43</f>
              <strCache>
                <ptCount val="1"/>
                <pt idx="0">
                  <v>Дети всего</v>
                </pt>
              </strCache>
            </strRef>
          </tx>
          <spPr>
            <a:ln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'График Общий'!$D$43:$O$43</f>
              <numCache>
                <formatCode>General</formatCode>
                <ptCount val="12"/>
                <pt idx="0">
                  <v>39</v>
                </pt>
                <pt idx="1">
                  <v>62</v>
                </pt>
                <pt idx="2">
                  <v>57</v>
                </pt>
                <pt idx="3">
                  <v>58</v>
                </pt>
                <pt idx="4">
                  <v>61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'График Общий'!$B$44</f>
              <strCache>
                <ptCount val="1"/>
                <pt idx="0">
                  <v xml:space="preserve">Взрослые </v>
                </pt>
              </strCache>
            </strRef>
          </tx>
          <spPr>
            <a:ln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'График Общий'!$D$44:$O$44</f>
              <numCache>
                <formatCode>General</formatCode>
                <ptCount val="12"/>
                <pt idx="0">
                  <v>41</v>
                </pt>
                <pt idx="1">
                  <v>65</v>
                </pt>
                <pt idx="2">
                  <v>73</v>
                </pt>
                <pt idx="3">
                  <v>82</v>
                </pt>
                <pt idx="4">
                  <v>67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'График Общий'!$B$45</f>
              <strCache>
                <ptCount val="1"/>
                <pt idx="0">
                  <v>Человек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'График Общий'!$D$45:$O$45</f>
              <numCache>
                <formatCode>General</formatCode>
                <ptCount val="12"/>
                <pt idx="0">
                  <v>80</v>
                </pt>
                <pt idx="1">
                  <v>127</v>
                </pt>
                <pt idx="2">
                  <v>130</v>
                </pt>
                <pt idx="3">
                  <v>140</v>
                </pt>
                <pt idx="4">
                  <v>128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50212127"/>
        <axId val="250213791"/>
      </lineChart>
      <catAx>
        <axId val="2502121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3791"/>
        <crosses val="autoZero"/>
        <auto val="1"/>
        <lblAlgn val="ctr"/>
        <lblOffset val="100"/>
        <noMultiLvlLbl val="0"/>
      </catAx>
      <valAx>
        <axId val="2502137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6350" cap="flat" cmpd="sng" algn="ctr">
            <a:solidFill>
              <a:sysClr val="windowText" lastClr="000000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ru-RU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50212127"/>
        <crosses val="autoZero"/>
        <crossBetween val="between"/>
        <majorUnit val="20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821736"/>
          <y val="0.228256"/>
          <w val="0.178264"/>
          <h val="0.58120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ru-RU" sz="14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590551</colOff>
      <row>21</row>
      <rowOff>0</rowOff>
    </from>
    <to>
      <col>19</col>
      <colOff>257175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21</row>
      <rowOff>0</rowOff>
    </from>
    <to>
      <col>19</col>
      <colOff>276224</colOff>
      <row>49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16</col>
      <colOff>582705</colOff>
      <row>2</row>
      <rowOff>0</rowOff>
    </from>
    <to>
      <col>37</col>
      <colOff>0</colOff>
      <row>36</row>
      <rowOff>11206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17</col>
      <colOff>0</colOff>
      <row>39</row>
      <rowOff>0</rowOff>
    </from>
    <to>
      <col>24</col>
      <colOff>336177</colOff>
      <row>50</row>
      <rowOff>188258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32216</colOff>
      <row>50</row>
      <rowOff>101553</rowOff>
    </from>
    <to>
      <col>16</col>
      <colOff>535780</colOff>
      <row>87</row>
      <rowOff>123964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C2" sqref="C2:D3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январь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46023</v>
      </c>
      <c r="D2" s="33">
        <f>IF(C3="","",IF(C3+1&gt;EOMONTH($C$2,0),"",C3+1))</f>
        <v/>
      </c>
      <c r="E2" s="33">
        <f>IF(D3="","",IF(D3+1&gt;EOMONTH($C$2,0),"",D3+1))</f>
        <v/>
      </c>
      <c r="F2" s="33">
        <f>IF(E3="","",IF(E3+1&gt;EOMONTH($C$2,0),"",E3+1))</f>
        <v/>
      </c>
      <c r="G2" s="33">
        <f>IF(F3="","",IF(F3+1&gt;EOMONTH($C$2,0),"",F3+1))</f>
        <v/>
      </c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>
        <f>IF(E2="","",MIN(E2+6,EOMONTH($C$2,0)))</f>
        <v/>
      </c>
      <c r="F3" s="33">
        <f>IF(F2="","",MIN(F2+6,EOMONTH($C$2,0)))</f>
        <v/>
      </c>
      <c r="G3" s="33">
        <f>IF(G2="","",MIN(G2+6,EOMONTH($C$2,0)))</f>
        <v/>
      </c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>
        <v>18</v>
      </c>
      <c r="F4" s="12" t="n">
        <v>11</v>
      </c>
      <c r="G4" s="12" t="n">
        <v>5</v>
      </c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>
        <v>5</v>
      </c>
      <c r="F5" s="12" t="n">
        <v>4</v>
      </c>
      <c r="G5" s="12" t="n">
        <v>3</v>
      </c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>
        <v>1</v>
      </c>
      <c r="F7" s="12" t="n">
        <v>7</v>
      </c>
      <c r="G7" s="12" t="n">
        <v>6</v>
      </c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>
        <v>5</v>
      </c>
      <c r="F8" s="12" t="n">
        <v>1</v>
      </c>
      <c r="G8" s="12" t="n">
        <v>3</v>
      </c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>
        <v>1</v>
      </c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>
        <v>1</v>
      </c>
      <c r="F11" s="12" t="n">
        <v>3</v>
      </c>
      <c r="G11" s="12" t="n">
        <v>3</v>
      </c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SUM(O12:O13)-Q11</f>
        <v/>
      </c>
      <c r="P11" s="12" t="n"/>
      <c r="Q11" s="28">
        <f>SUM(Q12+Q13)</f>
        <v/>
      </c>
      <c r="R11" s="28">
        <f>SUM(R12+R13+H25)</f>
        <v/>
      </c>
      <c r="S11" s="12" t="n">
        <v>2</v>
      </c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>
        <v>2</v>
      </c>
      <c r="G12" s="12" t="n">
        <v>1</v>
      </c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 t="n"/>
      <c r="P12" s="12" t="n"/>
      <c r="Q12" s="28" t="n">
        <v>1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>
        <v>3</v>
      </c>
      <c r="F13" s="12" t="n">
        <v>3</v>
      </c>
      <c r="G13" s="12" t="n">
        <v>3</v>
      </c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>
        <v>1</v>
      </c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2</v>
      </c>
      <c r="R14" s="28">
        <f>SUM(H10+H12+H14+H27+H28+H37)</f>
        <v/>
      </c>
      <c r="S14" s="12" t="n">
        <v>2</v>
      </c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>
        <v>2</v>
      </c>
      <c r="G16" s="12" t="n">
        <v>1</v>
      </c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>
        <v>1</v>
      </c>
      <c r="F17" s="12" t="n">
        <v>1</v>
      </c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>
        <v>1</v>
      </c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>
        <v>1</v>
      </c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>
        <v>1</v>
      </c>
      <c r="F21" s="12" t="n"/>
      <c r="G21" s="12" t="n">
        <v>2</v>
      </c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>
        <v>1</v>
      </c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>
        <v>2</v>
      </c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>
        <v>1</v>
      </c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>
        <v>1</v>
      </c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>
        <v>21</v>
      </c>
      <c r="F43" s="40" t="n">
        <v>12</v>
      </c>
      <c r="G43" s="40" t="n">
        <v>6</v>
      </c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>
        <v>29</v>
      </c>
      <c r="F45" s="12" t="n">
        <v>27</v>
      </c>
      <c r="G45" s="12" t="n">
        <v>24</v>
      </c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8"/>
  <sheetViews>
    <sheetView topLeftCell="K1" workbookViewId="0">
      <selection activeCell="D9" sqref="D9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0.25" customHeight="1">
      <c r="A1" s="2" t="inlineStr">
        <is>
          <t>Оториноларингологическое отделение за февраль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3" t="n">
        <v>46054</v>
      </c>
      <c r="D2" s="33" t="n">
        <v>46062</v>
      </c>
      <c r="E2" s="33" t="n">
        <v>46069</v>
      </c>
      <c r="F2" s="33" t="n">
        <v>46076</v>
      </c>
      <c r="G2" s="33" t="n"/>
    </row>
    <row r="3" ht="15.75" customHeight="1">
      <c r="B3" s="31" t="inlineStr">
        <is>
          <t>По</t>
        </is>
      </c>
      <c r="C3" s="33" t="n">
        <v>46061</v>
      </c>
      <c r="D3" s="33" t="n">
        <v>46068</v>
      </c>
      <c r="E3" s="33" t="n">
        <v>46075</v>
      </c>
      <c r="F3" s="33" t="n">
        <v>46081</v>
      </c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>
        <v>13</v>
      </c>
      <c r="D4" s="12" t="n">
        <v>11</v>
      </c>
      <c r="E4" s="12" t="n">
        <v>18</v>
      </c>
      <c r="F4" s="12" t="n">
        <v>15</v>
      </c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>
        <v>6</v>
      </c>
      <c r="D5" s="12" t="n">
        <v>6</v>
      </c>
      <c r="E5" s="12" t="n">
        <v>9</v>
      </c>
      <c r="F5" s="12" t="n">
        <v>8</v>
      </c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>
        <v>3</v>
      </c>
      <c r="D6" s="12" t="n">
        <v>3</v>
      </c>
      <c r="E6" s="12" t="n">
        <v>1</v>
      </c>
      <c r="F6" s="12" t="n">
        <v>2</v>
      </c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>
        <v>11</v>
      </c>
      <c r="D7" s="12" t="n">
        <v>12</v>
      </c>
      <c r="E7" s="12" t="n">
        <v>12</v>
      </c>
      <c r="F7" s="12" t="n">
        <v>9</v>
      </c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>
        <v>3</v>
      </c>
      <c r="D8" s="12" t="n">
        <v>0</v>
      </c>
      <c r="E8" s="12" t="n">
        <v>1</v>
      </c>
      <c r="F8" s="12" t="n">
        <v>3</v>
      </c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36" customHeight="1">
      <c r="B9" s="7" t="inlineStr">
        <is>
          <t>Миринготомия экстр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>
        <v>0</v>
      </c>
      <c r="D10" s="12" t="n">
        <v>2</v>
      </c>
      <c r="E10" s="12" t="n">
        <v>0</v>
      </c>
      <c r="F10" s="12" t="n">
        <v>0</v>
      </c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>
        <v>7</v>
      </c>
      <c r="D11" s="12" t="n">
        <v>6</v>
      </c>
      <c r="E11" s="12" t="n">
        <v>5</v>
      </c>
      <c r="F11" s="12" t="n">
        <v>4</v>
      </c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>
        <v>1</v>
      </c>
    </row>
    <row r="12" ht="15.75" customHeight="1">
      <c r="B12" s="5" t="inlineStr">
        <is>
          <t>Гайморотомия</t>
        </is>
      </c>
      <c r="C12" s="12" t="n">
        <v>1</v>
      </c>
      <c r="D12" s="12" t="n">
        <v>5</v>
      </c>
      <c r="E12" s="12" t="n">
        <v>3</v>
      </c>
      <c r="F12" s="12" t="n">
        <v>2</v>
      </c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>
        <v>0</v>
      </c>
      <c r="Q12" s="28" t="n">
        <v>1</v>
      </c>
      <c r="R12" s="28">
        <f>SUM(H22+H26)</f>
        <v/>
      </c>
      <c r="S12" s="12" t="n">
        <v>1</v>
      </c>
    </row>
    <row r="13" ht="15.75" customHeight="1">
      <c r="B13" s="5" t="inlineStr">
        <is>
          <t>Тозиллэктомия</t>
        </is>
      </c>
      <c r="C13" s="12" t="n">
        <v>2</v>
      </c>
      <c r="D13" s="12" t="n">
        <v>1</v>
      </c>
      <c r="E13" s="12" t="n">
        <v>3</v>
      </c>
      <c r="F13" s="12" t="n">
        <v>2</v>
      </c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>
        <v>0</v>
      </c>
      <c r="Q13" s="28" t="n">
        <v>1</v>
      </c>
      <c r="R13" s="28">
        <f>SUM(H4+H5+H13)</f>
        <v/>
      </c>
      <c r="S13" s="12" t="n">
        <v>0</v>
      </c>
    </row>
    <row r="14" ht="15.75" customHeight="1">
      <c r="B14" s="5" t="inlineStr">
        <is>
          <t>Увулопластика</t>
        </is>
      </c>
      <c r="C14" s="12" t="n">
        <v>0</v>
      </c>
      <c r="D14" s="12" t="n">
        <v>1</v>
      </c>
      <c r="E14" s="12" t="n">
        <v>1</v>
      </c>
      <c r="F14" s="12" t="n">
        <v>0</v>
      </c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>
        <v>0</v>
      </c>
      <c r="Q14" s="28" t="n">
        <v>4</v>
      </c>
      <c r="R14" s="28">
        <f>SUM(H10+H12+H14+H27+H28+H37)</f>
        <v/>
      </c>
      <c r="S14" s="12" t="n">
        <v>6</v>
      </c>
    </row>
    <row r="15" ht="15.75" customHeight="1">
      <c r="B15" s="5" t="inlineStr">
        <is>
          <t>Пластика нёба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</row>
    <row r="16" ht="15.75" customHeight="1">
      <c r="B16" s="7" t="inlineStr">
        <is>
          <t>Фурункул НСП</t>
        </is>
      </c>
      <c r="C16" s="12" t="n">
        <v>0</v>
      </c>
      <c r="D16" s="12" t="n">
        <v>2</v>
      </c>
      <c r="E16" s="12" t="n">
        <v>0</v>
      </c>
      <c r="F16" s="12" t="n">
        <v>0</v>
      </c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>
        <v>0</v>
      </c>
      <c r="Q16" s="28" t="n">
        <v>0</v>
      </c>
      <c r="R16" s="28" t="n">
        <v>0</v>
      </c>
      <c r="S16" s="28" t="n">
        <v>0</v>
      </c>
    </row>
    <row r="17" ht="15.75" customHeight="1">
      <c r="B17" s="7" t="inlineStr">
        <is>
          <t>Фурункул носа</t>
        </is>
      </c>
      <c r="C17" s="12" t="n">
        <v>1</v>
      </c>
      <c r="D17" s="12" t="n">
        <v>0</v>
      </c>
      <c r="E17" s="12" t="n">
        <v>0</v>
      </c>
      <c r="F17" s="12" t="n">
        <v>1</v>
      </c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7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>
        <v>0</v>
      </c>
      <c r="D19" s="12" t="n">
        <v>0</v>
      </c>
      <c r="E19" s="12" t="n">
        <v>2</v>
      </c>
      <c r="F19" s="12" t="n">
        <v>1</v>
      </c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>
        <v>0</v>
      </c>
      <c r="D21" s="12" t="n">
        <v>0</v>
      </c>
      <c r="E21" s="12" t="n">
        <v>1</v>
      </c>
      <c r="F21" s="12" t="n">
        <v>0</v>
      </c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>
        <v>0</v>
      </c>
      <c r="D22" s="12" t="n">
        <v>0</v>
      </c>
      <c r="E22" s="12" t="n">
        <v>0</v>
      </c>
      <c r="F22" s="12" t="n">
        <v>1</v>
      </c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>
        <v>0</v>
      </c>
      <c r="D23" s="12" t="n">
        <v>0</v>
      </c>
      <c r="E23" s="12" t="n">
        <v>0</v>
      </c>
      <c r="F23" s="12" t="n">
        <v>0</v>
      </c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>
        <v>0</v>
      </c>
      <c r="D25" s="12" t="n">
        <v>0</v>
      </c>
      <c r="E25" s="12" t="n">
        <v>0</v>
      </c>
      <c r="F25" s="12" t="n">
        <v>0</v>
      </c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>
        <v>0</v>
      </c>
      <c r="D26" s="12" t="n">
        <v>0</v>
      </c>
      <c r="E26" s="12" t="n">
        <v>1</v>
      </c>
      <c r="F26" s="12" t="n">
        <v>0</v>
      </c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>
        <v>0</v>
      </c>
      <c r="D33" s="12" t="n">
        <v>0</v>
      </c>
      <c r="E33" s="12" t="n">
        <v>1</v>
      </c>
      <c r="F33" s="12" t="n">
        <v>1</v>
      </c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>
        <v>0</v>
      </c>
      <c r="D37" s="12" t="n">
        <v>0</v>
      </c>
      <c r="E37" s="12" t="n">
        <v>0</v>
      </c>
      <c r="F37" s="12" t="n">
        <v>0</v>
      </c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>
        <v>15</v>
      </c>
      <c r="D43" s="40" t="n">
        <v>13</v>
      </c>
      <c r="E43" s="40" t="n">
        <v>22</v>
      </c>
      <c r="F43" s="40" t="n">
        <v>18</v>
      </c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>
        <v>29</v>
      </c>
      <c r="D45" s="12" t="n">
        <v>29</v>
      </c>
      <c r="E45" s="12" t="n">
        <v>38</v>
      </c>
      <c r="F45" s="12" t="n">
        <v>32</v>
      </c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D9" sqref="D9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0.25" customHeight="1">
      <c r="A1" s="2" t="inlineStr">
        <is>
          <t>Оториноларингологическое отделение за март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3" t="n">
        <v>46082</v>
      </c>
      <c r="D2" s="33" t="n">
        <v>46090</v>
      </c>
      <c r="E2" s="33" t="n">
        <v>46097</v>
      </c>
      <c r="F2" s="33" t="n">
        <v>46104</v>
      </c>
      <c r="G2" s="33" t="n">
        <v>46111</v>
      </c>
    </row>
    <row r="3" ht="15.75" customHeight="1">
      <c r="B3" s="31" t="inlineStr">
        <is>
          <t>По</t>
        </is>
      </c>
      <c r="C3" s="33" t="n">
        <v>46089</v>
      </c>
      <c r="D3" s="33" t="n">
        <v>46096</v>
      </c>
      <c r="E3" s="33" t="n">
        <v>46103</v>
      </c>
      <c r="F3" s="33" t="n">
        <v>46110</v>
      </c>
      <c r="G3" s="33" t="n">
        <v>46112</v>
      </c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>
        <v>15</v>
      </c>
      <c r="D4" s="12" t="n">
        <v>10</v>
      </c>
      <c r="E4" s="12" t="n">
        <v>11</v>
      </c>
      <c r="F4" s="12" t="n">
        <v>13</v>
      </c>
      <c r="G4" s="12" t="n">
        <v>3</v>
      </c>
      <c r="H4" s="6">
        <f>SUM(C4:G4)</f>
        <v/>
      </c>
    </row>
    <row r="5" ht="15.75" customHeight="1">
      <c r="B5" s="5" t="inlineStr">
        <is>
          <t>Тонзиллотомия</t>
        </is>
      </c>
      <c r="C5" s="12" t="n">
        <v>7</v>
      </c>
      <c r="D5" s="12" t="n">
        <v>4</v>
      </c>
      <c r="E5" s="12" t="n">
        <v>6</v>
      </c>
      <c r="F5" s="12" t="n">
        <v>9</v>
      </c>
      <c r="G5" s="12" t="n">
        <v>1</v>
      </c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>
        <v>8</v>
      </c>
      <c r="D7" s="12" t="n">
        <v>12</v>
      </c>
      <c r="E7" s="12" t="n">
        <v>10</v>
      </c>
      <c r="F7" s="12" t="n">
        <v>7</v>
      </c>
      <c r="G7" s="12" t="n">
        <v>6</v>
      </c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>
        <v>1</v>
      </c>
      <c r="D8" s="12" t="n"/>
      <c r="E8" s="12" t="n">
        <v>1</v>
      </c>
      <c r="F8" s="12" t="n"/>
      <c r="G8" s="12" t="n">
        <v>1</v>
      </c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36" customHeight="1">
      <c r="B9" s="7" t="inlineStr">
        <is>
          <t>Миринготомия экстр</t>
        </is>
      </c>
      <c r="C9" s="12" t="n">
        <v>1</v>
      </c>
      <c r="D9" s="12" t="n">
        <v>2</v>
      </c>
      <c r="E9" s="12" t="n">
        <v>2</v>
      </c>
      <c r="F9" s="12" t="n">
        <v>2</v>
      </c>
      <c r="G9" s="12" t="n">
        <v>2</v>
      </c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>
        <v>1</v>
      </c>
      <c r="D10" s="12" t="n"/>
      <c r="E10" s="12" t="n">
        <v>1</v>
      </c>
      <c r="F10" s="12" t="n"/>
      <c r="G10" s="12" t="n">
        <v>1</v>
      </c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>
        <v>4</v>
      </c>
      <c r="D11" s="12" t="n">
        <v>6</v>
      </c>
      <c r="E11" s="12" t="n">
        <v>2</v>
      </c>
      <c r="F11" s="12" t="n">
        <v>2</v>
      </c>
      <c r="G11" s="12" t="n">
        <v>4</v>
      </c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>
        <v>2</v>
      </c>
    </row>
    <row r="12" ht="15.75" customHeight="1">
      <c r="B12" s="5" t="inlineStr">
        <is>
          <t>Гайморотомия</t>
        </is>
      </c>
      <c r="C12" s="12" t="n">
        <v>5</v>
      </c>
      <c r="D12" s="12" t="n">
        <v>3</v>
      </c>
      <c r="E12" s="12" t="n"/>
      <c r="F12" s="12" t="n"/>
      <c r="G12" s="12" t="n">
        <v>1</v>
      </c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 t="n">
        <v>0</v>
      </c>
      <c r="P12" s="12" t="n"/>
      <c r="Q12" s="28" t="n">
        <v>1</v>
      </c>
      <c r="R12" s="28">
        <f>SUM(H22+H26)</f>
        <v/>
      </c>
      <c r="S12" s="12" t="n">
        <v>2</v>
      </c>
    </row>
    <row r="13" ht="15.75" customHeight="1">
      <c r="B13" s="5" t="inlineStr">
        <is>
          <t>Тозиллэктомия</t>
        </is>
      </c>
      <c r="C13" s="12" t="n">
        <v>3</v>
      </c>
      <c r="D13" s="12" t="n">
        <v>2</v>
      </c>
      <c r="E13" s="12" t="n"/>
      <c r="F13" s="12" t="n">
        <v>1</v>
      </c>
      <c r="G13" s="12" t="n">
        <v>1</v>
      </c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1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>
        <v>1</v>
      </c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1</v>
      </c>
      <c r="R14" s="28">
        <f>SUM(H10+H12+H14+H27+H28+H37)</f>
        <v/>
      </c>
      <c r="S14" s="12" t="n">
        <v>8</v>
      </c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>
        <v>1</v>
      </c>
      <c r="E16" s="12" t="n"/>
      <c r="F16" s="12" t="n">
        <v>1</v>
      </c>
      <c r="G16" s="12" t="n">
        <v>1</v>
      </c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>
        <v>1</v>
      </c>
      <c r="E17" s="12" t="n"/>
      <c r="F17" s="12" t="n">
        <v>1</v>
      </c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>
        <v>1</v>
      </c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>
        <v>2</v>
      </c>
      <c r="D19" s="12" t="n"/>
      <c r="E19" s="12" t="n">
        <v>1</v>
      </c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>
        <v>1</v>
      </c>
      <c r="F21" s="12" t="n">
        <v>1</v>
      </c>
      <c r="G21" s="12" t="n">
        <v>3</v>
      </c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>
        <v>1</v>
      </c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>
        <v>1</v>
      </c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>
        <v>1</v>
      </c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>
        <v>1</v>
      </c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>
        <v>1</v>
      </c>
      <c r="F33" s="12" t="n">
        <v>1</v>
      </c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>
        <v>16</v>
      </c>
      <c r="D43" s="40" t="n">
        <v>10</v>
      </c>
      <c r="E43" s="40" t="n">
        <v>11</v>
      </c>
      <c r="F43" s="40" t="n">
        <v>14</v>
      </c>
      <c r="G43" s="40" t="n">
        <v>6</v>
      </c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>
        <v>31</v>
      </c>
      <c r="D45" s="12" t="n">
        <v>26</v>
      </c>
      <c r="E45" s="12" t="n">
        <v>28</v>
      </c>
      <c r="F45" s="12" t="n">
        <v>27</v>
      </c>
      <c r="G45" s="12" t="n">
        <v>18</v>
      </c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8"/>
  <sheetViews>
    <sheetView tabSelected="1" workbookViewId="0">
      <selection activeCell="E9" sqref="E9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0.25" customHeight="1">
      <c r="A1" s="2" t="inlineStr">
        <is>
          <t>Оториноларингологическое отделение за апрель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46113</v>
      </c>
      <c r="D2" s="33">
        <f>IF(C3="","",IF(C3+1&gt;EOMONTH($C$2,0),"",C3+1))</f>
        <v/>
      </c>
      <c r="E2" s="33">
        <f>IF(D3="","",IF(D3+1&gt;EOMONTH($C$2,0),"",D3+1))</f>
        <v/>
      </c>
      <c r="F2" s="33">
        <f>IF(E3="","",IF(E3+1&gt;EOMONTH($C$2,0),"",E3+1))</f>
        <v/>
      </c>
      <c r="G2" s="33">
        <f>IF(F3="","",IF(F3+1&gt;EOMONTH($C$2,0),"",F3+1))</f>
        <v/>
      </c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>
        <f>IF(E2="","",MIN(E2+6,EOMONTH($C$2,0)))</f>
        <v/>
      </c>
      <c r="F3" s="33">
        <f>IF(F2="","",MIN(F2+6,EOMONTH($C$2,0)))</f>
        <v/>
      </c>
      <c r="G3" s="33">
        <f>IF(G2="","",MIN(G2+6,EOMONTH($C$2,0)))</f>
        <v/>
      </c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>
        <v>6</v>
      </c>
      <c r="D4" s="12" t="n">
        <v>11</v>
      </c>
      <c r="E4" s="12" t="n">
        <v>14</v>
      </c>
      <c r="F4" s="12" t="n">
        <v>9</v>
      </c>
      <c r="G4" s="12" t="n">
        <v>13</v>
      </c>
      <c r="H4" s="6">
        <f>SUM(C4:G4)</f>
        <v/>
      </c>
    </row>
    <row r="5" ht="15.75" customHeight="1">
      <c r="B5" s="5" t="inlineStr">
        <is>
          <t>Тонзиллотомия</t>
        </is>
      </c>
      <c r="C5" s="12" t="n">
        <v>5</v>
      </c>
      <c r="D5" s="12" t="n">
        <v>6</v>
      </c>
      <c r="E5" s="12" t="n">
        <v>5</v>
      </c>
      <c r="F5" s="12" t="n">
        <v>5</v>
      </c>
      <c r="G5" s="12" t="n">
        <v>6</v>
      </c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>
        <v>2</v>
      </c>
      <c r="D6" s="12" t="n">
        <v>0</v>
      </c>
      <c r="E6" s="12" t="n">
        <v>2</v>
      </c>
      <c r="F6" s="12" t="n">
        <v>1</v>
      </c>
      <c r="G6" s="12" t="n">
        <v>0</v>
      </c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>
        <v>4</v>
      </c>
      <c r="D7" s="12" t="n">
        <v>5</v>
      </c>
      <c r="E7" s="12" t="n">
        <v>12</v>
      </c>
      <c r="F7" s="12" t="n">
        <v>14</v>
      </c>
      <c r="G7" s="12" t="n">
        <v>11</v>
      </c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>
        <v>1</v>
      </c>
      <c r="D8" s="12" t="n">
        <v>3</v>
      </c>
      <c r="E8" s="12" t="n">
        <v>4</v>
      </c>
      <c r="F8" s="12" t="n">
        <v>4</v>
      </c>
      <c r="G8" s="12" t="n">
        <v>2</v>
      </c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36" customHeight="1">
      <c r="B9" s="7" t="inlineStr">
        <is>
          <t>Миринготомия экстр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>
        <v>1</v>
      </c>
      <c r="D10" s="12" t="n">
        <v>1</v>
      </c>
      <c r="E10" s="12" t="n">
        <v>0</v>
      </c>
      <c r="F10" s="12" t="n">
        <v>0</v>
      </c>
      <c r="G10" s="12" t="n">
        <v>0</v>
      </c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>
        <v>0</v>
      </c>
      <c r="D11" s="12" t="n">
        <v>2</v>
      </c>
      <c r="E11" s="12" t="n">
        <v>4</v>
      </c>
      <c r="F11" s="12" t="n">
        <v>5</v>
      </c>
      <c r="G11" s="12" t="n">
        <v>6</v>
      </c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>
        <v>7</v>
      </c>
    </row>
    <row r="12" ht="15.75" customHeight="1">
      <c r="B12" s="5" t="inlineStr">
        <is>
          <t>Гайморотомия</t>
        </is>
      </c>
      <c r="C12" s="12" t="n">
        <v>1</v>
      </c>
      <c r="D12" s="12" t="n">
        <v>1</v>
      </c>
      <c r="E12" s="12" t="n">
        <v>2</v>
      </c>
      <c r="F12" s="12" t="n">
        <v>2</v>
      </c>
      <c r="G12" s="12" t="n">
        <v>2</v>
      </c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>
        <v>1</v>
      </c>
    </row>
    <row r="13" ht="15.75" customHeight="1">
      <c r="B13" s="5" t="inlineStr">
        <is>
          <t>Тозиллэктомия</t>
        </is>
      </c>
      <c r="C13" s="12" t="n">
        <v>0</v>
      </c>
      <c r="D13" s="12" t="n">
        <v>2</v>
      </c>
      <c r="E13" s="12" t="n">
        <v>1</v>
      </c>
      <c r="F13" s="12" t="n">
        <v>2</v>
      </c>
      <c r="G13" s="12" t="n">
        <v>1</v>
      </c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3</v>
      </c>
      <c r="R13" s="28">
        <f>SUM(H4+H5+H13)</f>
        <v/>
      </c>
      <c r="S13" s="12" t="n">
        <v>1</v>
      </c>
    </row>
    <row r="14" ht="15.75" customHeight="1">
      <c r="B14" s="5" t="inlineStr">
        <is>
          <t>Увулопластика</t>
        </is>
      </c>
      <c r="C14" s="12" t="n">
        <v>0</v>
      </c>
      <c r="D14" s="12" t="n">
        <v>0</v>
      </c>
      <c r="E14" s="12" t="n">
        <v>0</v>
      </c>
      <c r="F14" s="12" t="n">
        <v>1</v>
      </c>
      <c r="G14" s="12" t="n">
        <v>3</v>
      </c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>
        <v>1</v>
      </c>
    </row>
    <row r="15" ht="15.75" customHeight="1">
      <c r="B15" s="5" t="inlineStr">
        <is>
          <t>Пластика нёба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>
        <v>1</v>
      </c>
      <c r="D16" s="12" t="n">
        <v>1</v>
      </c>
      <c r="E16" s="12" t="n">
        <v>1</v>
      </c>
      <c r="F16" s="12" t="n">
        <v>0</v>
      </c>
      <c r="G16" s="12" t="n">
        <v>0</v>
      </c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>
        <v>0</v>
      </c>
      <c r="D17" s="12" t="n">
        <v>0</v>
      </c>
      <c r="E17" s="12" t="n">
        <v>1</v>
      </c>
      <c r="F17" s="12" t="n">
        <v>1</v>
      </c>
      <c r="G17" s="12" t="n">
        <v>0</v>
      </c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>
        <v>0</v>
      </c>
      <c r="D18" s="12" t="n">
        <v>0</v>
      </c>
      <c r="E18" s="12" t="n">
        <v>1</v>
      </c>
      <c r="F18" s="12" t="n">
        <v>0</v>
      </c>
      <c r="G18" s="12" t="n">
        <v>0</v>
      </c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>
        <v>1</v>
      </c>
      <c r="D19" s="12" t="n">
        <v>0</v>
      </c>
      <c r="E19" s="12" t="n">
        <v>1</v>
      </c>
      <c r="F19" s="12" t="n">
        <v>0</v>
      </c>
      <c r="G19" s="12" t="n">
        <v>1</v>
      </c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>
        <v>0</v>
      </c>
      <c r="D21" s="12" t="n">
        <v>0</v>
      </c>
      <c r="E21" s="12" t="n">
        <v>4</v>
      </c>
      <c r="F21" s="12" t="n">
        <v>3</v>
      </c>
      <c r="G21" s="12" t="n">
        <v>2</v>
      </c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6">
        <f>SUM(C22:G22)</f>
        <v/>
      </c>
    </row>
    <row r="23" ht="15.75" customHeight="1">
      <c r="B23" s="5" t="inlineStr">
        <is>
          <t>Синехии нос</t>
        </is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>
        <v>0</v>
      </c>
      <c r="D25" s="12" t="n">
        <v>0</v>
      </c>
      <c r="E25" s="12" t="n">
        <v>0</v>
      </c>
      <c r="F25" s="12" t="n">
        <v>2</v>
      </c>
      <c r="G25" s="12" t="n">
        <v>0</v>
      </c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6">
        <f>SUM(C28:G28)</f>
        <v/>
      </c>
    </row>
    <row r="29" ht="15.75" customHeight="1">
      <c r="B29" s="7" t="inlineStr">
        <is>
          <t>ПХО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>
        <v>0</v>
      </c>
      <c r="D30" s="12" t="n">
        <v>1</v>
      </c>
      <c r="E30" s="12" t="n">
        <v>2</v>
      </c>
      <c r="F30" s="12" t="n">
        <v>0</v>
      </c>
      <c r="G30" s="12" t="n">
        <v>0</v>
      </c>
      <c r="H30" s="6">
        <f>SUM(C30:G30)</f>
        <v/>
      </c>
    </row>
    <row r="31" ht="15.75" customHeight="1">
      <c r="B31" s="7" t="inlineStr">
        <is>
          <t>Фронтотомия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>
        <v>1</v>
      </c>
      <c r="D35" s="12" t="n">
        <v>0</v>
      </c>
      <c r="E35" s="12" t="n">
        <v>0</v>
      </c>
      <c r="F35" s="12" t="n">
        <v>0</v>
      </c>
      <c r="G35" s="12" t="n">
        <v>0</v>
      </c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>
        <v>6</v>
      </c>
      <c r="D43" s="40" t="n">
        <v>13</v>
      </c>
      <c r="E43" s="40" t="n">
        <v>17</v>
      </c>
      <c r="F43" s="40" t="n">
        <v>9</v>
      </c>
      <c r="G43" s="40" t="n">
        <v>13</v>
      </c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>
        <v>15</v>
      </c>
      <c r="D45" s="12" t="n">
        <v>24</v>
      </c>
      <c r="E45" s="12" t="n">
        <v>38</v>
      </c>
      <c r="F45" s="12" t="n">
        <v>34</v>
      </c>
      <c r="G45" s="12" t="n">
        <v>29</v>
      </c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8"/>
  <sheetViews>
    <sheetView topLeftCell="I1" workbookViewId="0">
      <selection activeCell="R14" sqref="R14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0.25" customHeight="1">
      <c r="A1" s="2" t="inlineStr">
        <is>
          <t>Оториноларингологическое отделение за май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46143</v>
      </c>
      <c r="D2" s="33">
        <f>IF(C3="","",IF(C3+1&gt;EOMONTH($C$2,0),"",C3+1))</f>
        <v/>
      </c>
      <c r="E2" s="33">
        <f>IF(D3="","",IF(D3+1&gt;EOMONTH($C$2,0),"",D3+1))</f>
        <v/>
      </c>
      <c r="F2" s="33">
        <f>IF(E3="","",IF(E3+1&gt;EOMONTH($C$2,0),"",E3+1))</f>
        <v/>
      </c>
      <c r="G2" s="33">
        <f>IF(F3="","",IF(F3+1&gt;EOMONTH($C$2,0),"",F3+1))</f>
        <v/>
      </c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>
        <f>IF(E2="","",MIN(E2+6,EOMONTH($C$2,0)))</f>
        <v/>
      </c>
      <c r="F3" s="33">
        <f>IF(F2="","",MIN(F2+6,EOMONTH($C$2,0)))</f>
        <v/>
      </c>
      <c r="G3" s="33">
        <f>IF(G2="","",MIN(G2+6,EOMONTH($C$2,0)))</f>
        <v/>
      </c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>
        <v>21</v>
      </c>
      <c r="E4" s="12" t="n">
        <v>9</v>
      </c>
      <c r="F4" s="12" t="n">
        <v>14</v>
      </c>
      <c r="G4" s="12" t="n">
        <v>11</v>
      </c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>
        <v>8</v>
      </c>
      <c r="E5" s="12" t="n">
        <v>6</v>
      </c>
      <c r="F5" s="12" t="n">
        <v>7</v>
      </c>
      <c r="G5" s="12" t="n">
        <v>5</v>
      </c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>
        <v>3</v>
      </c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>
        <v>8</v>
      </c>
      <c r="E7" s="12" t="n">
        <v>11</v>
      </c>
      <c r="F7" s="12" t="n">
        <v>8</v>
      </c>
      <c r="G7" s="12" t="n">
        <v>12</v>
      </c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>
        <v>1</v>
      </c>
      <c r="E8" s="12" t="n">
        <v>3</v>
      </c>
      <c r="F8" s="12" t="n">
        <v>1</v>
      </c>
      <c r="G8" s="12" t="n">
        <v>4</v>
      </c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36" customHeight="1">
      <c r="B9" s="7" t="inlineStr">
        <is>
          <t>Миринготомия экстр</t>
        </is>
      </c>
      <c r="C9" s="12" t="n"/>
      <c r="D9" s="12" t="n"/>
      <c r="E9" s="12" t="n"/>
      <c r="F9" s="12" t="n">
        <v>2</v>
      </c>
      <c r="G9" s="12" t="n">
        <v>2</v>
      </c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>
        <v>1</v>
      </c>
      <c r="F10" s="12" t="n"/>
      <c r="G10" s="12" t="n">
        <v>2</v>
      </c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>
        <v>6</v>
      </c>
      <c r="E11" s="12" t="n">
        <v>4</v>
      </c>
      <c r="F11" s="12" t="n">
        <v>5</v>
      </c>
      <c r="G11" s="12" t="n">
        <v>6</v>
      </c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>
        <v>1</v>
      </c>
      <c r="E12" s="12" t="n"/>
      <c r="F12" s="12" t="n">
        <v>2</v>
      </c>
      <c r="G12" s="12" t="n">
        <v>3</v>
      </c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>
        <v>1</v>
      </c>
      <c r="E13" s="12" t="n">
        <v>1</v>
      </c>
      <c r="F13" s="12" t="n">
        <v>3</v>
      </c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>
        <v>1</v>
      </c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>
        <v>2</v>
      </c>
      <c r="E16" s="12" t="n"/>
      <c r="F16" s="12" t="n"/>
      <c r="G16" s="12" t="n">
        <v>1</v>
      </c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>
        <v>1</v>
      </c>
      <c r="F17" s="12" t="n">
        <v>1</v>
      </c>
      <c r="G17" s="12" t="n">
        <v>1</v>
      </c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>
        <v>1</v>
      </c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>
        <v>1</v>
      </c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>
        <v>1</v>
      </c>
      <c r="F21" s="12" t="n">
        <v>1</v>
      </c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>
        <v>1</v>
      </c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>
        <v>1</v>
      </c>
      <c r="E26" s="12" t="n">
        <v>1</v>
      </c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>
        <v>1</v>
      </c>
      <c r="E27" s="12" t="n">
        <v>1</v>
      </c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>
        <v>1</v>
      </c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>
        <v>1</v>
      </c>
      <c r="E33" s="12" t="n">
        <v>1</v>
      </c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>
        <v>1</v>
      </c>
      <c r="F37" s="12" t="n">
        <v>2</v>
      </c>
      <c r="G37" s="12" t="n">
        <v>1</v>
      </c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>
        <v>22</v>
      </c>
      <c r="E43" s="40" t="n">
        <v>10</v>
      </c>
      <c r="F43" s="40" t="n">
        <v>18</v>
      </c>
      <c r="G43" s="40" t="n">
        <v>11</v>
      </c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>
        <v>34</v>
      </c>
      <c r="E45" s="12" t="n">
        <v>27</v>
      </c>
      <c r="F45" s="12" t="n">
        <v>32</v>
      </c>
      <c r="G45" s="12" t="n">
        <v>35</v>
      </c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D17" sqref="D17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0.25" customHeight="1">
      <c r="A1" s="2" t="inlineStr">
        <is>
          <t>Оториноларингологическое отделение за июнь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46174</v>
      </c>
      <c r="D2" s="33">
        <f>IF(C3="","",IF(C3+1&gt;EOMONTH($C$2,0),"",C3+1))</f>
        <v/>
      </c>
      <c r="E2" s="33">
        <f>IF(D3="","",IF(D3+1&gt;EOMONTH($C$2,0),"",D3+1))</f>
        <v/>
      </c>
      <c r="F2" s="33">
        <f>IF(E3="","",IF(E3+1&gt;EOMONTH($C$2,0),"",E3+1))</f>
        <v/>
      </c>
      <c r="G2" s="33">
        <f>IF(F3="","",IF(F3+1&gt;EOMONTH($C$2,0),"",F3+1))</f>
        <v/>
      </c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>
        <f>IF(E2="","",MIN(E2+6,EOMONTH($C$2,0)))</f>
        <v/>
      </c>
      <c r="F3" s="33">
        <f>IF(F2="","",MIN(F2+6,EOMONTH($C$2,0)))</f>
        <v/>
      </c>
      <c r="G3" s="33">
        <f>IF(G2="","",MIN(G2+6,EOMONTH($C$2,0)))</f>
        <v/>
      </c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36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D7" sqref="D7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июль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46204</v>
      </c>
      <c r="D2" s="33">
        <f>IF(C3="","",IF(C3+1&gt;EOMONTH($C$2,0),"",C3+1))</f>
        <v/>
      </c>
      <c r="E2" s="33" t="n"/>
      <c r="F2" s="33" t="n"/>
      <c r="G2" s="33" t="n"/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 t="n"/>
      <c r="F3" s="33" t="n"/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D8" sqref="D8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август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46235</v>
      </c>
      <c r="D2" s="33">
        <f>IF(C3="","",IF(C3+1&gt;EOMONTH($C$2,0),"",C3+1))</f>
        <v/>
      </c>
      <c r="E2" s="33" t="n"/>
      <c r="F2" s="33" t="n"/>
      <c r="G2" s="33" t="n"/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 t="n"/>
      <c r="F3" s="33" t="n"/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C3" sqref="C3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сентябрь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46266</v>
      </c>
      <c r="D2" s="33">
        <f>IF(C3="","",IF(C3+1&gt;EOMONTH($C$2,0),"",C3+1))</f>
        <v/>
      </c>
      <c r="E2" s="33" t="n"/>
      <c r="F2" s="33" t="n"/>
      <c r="G2" s="33" t="n"/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 t="n"/>
      <c r="F3" s="33" t="n"/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C3" sqref="C3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октябрь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46296</v>
      </c>
      <c r="D2" s="33">
        <f>IF(C3="","",IF(C3+1&gt;EOMONTH($C$2,0),"",C3+1))</f>
        <v/>
      </c>
      <c r="E2" s="33" t="n"/>
      <c r="F2" s="33" t="n"/>
      <c r="G2" s="33" t="n"/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 t="n"/>
      <c r="F3" s="33" t="n"/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C3" sqref="C3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ноябрь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46327</v>
      </c>
      <c r="D2" s="33">
        <f>IF(C3="","",IF(C3+1&gt;EOMONTH($C$2,0),"",C3+1))</f>
        <v/>
      </c>
      <c r="E2" s="33" t="n"/>
      <c r="F2" s="33" t="n"/>
      <c r="G2" s="33" t="n"/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 t="n"/>
      <c r="F3" s="33" t="n"/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3" t="n"/>
      <c r="U6" s="3" t="n"/>
      <c r="V6" s="3" t="n"/>
      <c r="W6" s="3" t="n"/>
      <c r="X6" s="4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" t="n"/>
      <c r="P7" s="3" t="n"/>
      <c r="Q7" s="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4" t="n"/>
      <c r="U7" s="21" t="n"/>
      <c r="V7" s="4" t="n"/>
      <c r="W7" s="21" t="n"/>
      <c r="X7" s="4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22" t="n"/>
      <c r="M8" s="22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" t="n"/>
      <c r="Q8" s="4" t="n"/>
      <c r="R8" s="22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23" t="n"/>
      <c r="M9" s="23" t="n"/>
      <c r="N9" s="23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23" t="n"/>
      <c r="S9" s="23" t="n"/>
      <c r="T9" s="23" t="n"/>
      <c r="U9" s="23" t="n"/>
      <c r="V9" s="23" t="n"/>
      <c r="W9" s="23" t="n"/>
      <c r="X9" s="23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7">
    <mergeCell ref="W7:X7"/>
    <mergeCell ref="S6:X6"/>
    <mergeCell ref="U8:U9"/>
    <mergeCell ref="L7:L9"/>
    <mergeCell ref="S7:T7"/>
    <mergeCell ref="N8:N9"/>
    <mergeCell ref="M7:M9"/>
    <mergeCell ref="V8:V9"/>
    <mergeCell ref="W8:W9"/>
    <mergeCell ref="X8:X9"/>
    <mergeCell ref="S8:S9"/>
    <mergeCell ref="R7:R9"/>
    <mergeCell ref="A1:AH1"/>
    <mergeCell ref="T8:T9"/>
    <mergeCell ref="O8:Q8"/>
    <mergeCell ref="N7:Q7"/>
    <mergeCell ref="U7:V7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E9" sqref="E9"/>
    </sheetView>
  </sheetViews>
  <sheetFormatPr baseColWidth="8" defaultColWidth="9" defaultRowHeight="16.8"/>
  <cols>
    <col width="47.140625" customWidth="1" min="2" max="2"/>
    <col width="12.140625" customWidth="1" min="3" max="3"/>
    <col width="13.4296875" customWidth="1" min="4" max="4"/>
    <col width="12.140625" customWidth="1" min="5" max="6"/>
    <col width="10.7109375" customWidth="1" min="7" max="7"/>
    <col width="9.140625" customWidth="1" style="1" min="8" max="8"/>
    <col width="43.4296875" customWidth="1" min="12" max="12"/>
    <col width="8.859375" customWidth="1" min="14" max="17"/>
  </cols>
  <sheetData>
    <row r="1" ht="21" customHeight="1">
      <c r="A1" s="2" t="inlineStr">
        <is>
          <t>Оториноларингологическое отделение за декабрь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 t="n"/>
    </row>
    <row r="2">
      <c r="B2" s="31" t="inlineStr">
        <is>
          <t>С</t>
        </is>
      </c>
      <c r="C2" s="32" t="n">
        <v>46357</v>
      </c>
      <c r="D2" s="33">
        <f>IF(C3="","",IF(C3+1&gt;EOMONTH($C$2,0),"",C3+1))</f>
        <v/>
      </c>
      <c r="E2" s="33" t="n"/>
      <c r="F2" s="33" t="n"/>
      <c r="G2" s="33" t="n"/>
    </row>
    <row r="3" ht="15.75" customHeight="1">
      <c r="B3" s="31" t="inlineStr">
        <is>
          <t>По</t>
        </is>
      </c>
      <c r="C3" s="33">
        <f>IF(C2="","",MIN(C2+7-WEEKDAY(C2,2),EOMONTH($C$2,0)))</f>
        <v/>
      </c>
      <c r="D3" s="33">
        <f>IF(D2="","",MIN(D2+6,EOMONTH($C$2,0)))</f>
        <v/>
      </c>
      <c r="E3" s="33" t="n"/>
      <c r="F3" s="33" t="n"/>
      <c r="G3" s="33" t="n"/>
      <c r="H3" s="1" t="inlineStr">
        <is>
          <t>ИТОГ</t>
        </is>
      </c>
    </row>
    <row r="4" ht="15.75" customHeight="1">
      <c r="B4" s="5" t="inlineStr">
        <is>
          <t>Аденотомия</t>
        </is>
      </c>
      <c r="C4" s="12" t="n"/>
      <c r="D4" s="12" t="n"/>
      <c r="E4" s="12" t="n"/>
      <c r="F4" s="12" t="n"/>
      <c r="G4" s="12" t="n"/>
      <c r="H4" s="6">
        <f>SUM(C4:G4)</f>
        <v/>
      </c>
    </row>
    <row r="5" ht="15.75" customHeight="1">
      <c r="B5" s="5" t="inlineStr">
        <is>
          <t>Тонзиллотомия</t>
        </is>
      </c>
      <c r="C5" s="12" t="n"/>
      <c r="D5" s="12" t="n"/>
      <c r="E5" s="12" t="n"/>
      <c r="F5" s="12" t="n"/>
      <c r="G5" s="12" t="n"/>
      <c r="H5" s="6">
        <f>SUM(C5:G5)</f>
        <v/>
      </c>
    </row>
    <row r="6" ht="15.75" customHeight="1">
      <c r="B6" s="5" t="inlineStr">
        <is>
          <t>Миринготомия план</t>
        </is>
      </c>
      <c r="C6" s="12" t="n"/>
      <c r="D6" s="12" t="n"/>
      <c r="E6" s="12" t="n"/>
      <c r="F6" s="12" t="n"/>
      <c r="G6" s="12" t="n"/>
      <c r="H6" s="6">
        <f>SUM(C6:G6)</f>
        <v/>
      </c>
      <c r="S6" s="16" t="inlineStr">
        <is>
          <t>ХИРУРГИЧЕСКАЯ РАБОТА ОРГАНИЗАЦИИ (лица старше трудоспособного возраста) 4001</t>
        </is>
      </c>
      <c r="T6" s="16" t="n"/>
      <c r="U6" s="16" t="n"/>
      <c r="V6" s="16" t="n"/>
      <c r="W6" s="16" t="n"/>
      <c r="X6" s="16" t="n"/>
    </row>
    <row r="7" ht="38.25" customHeight="1">
      <c r="B7" s="5" t="inlineStr">
        <is>
          <t>Пластика раковин</t>
        </is>
      </c>
      <c r="C7" s="12" t="n"/>
      <c r="D7" s="12" t="n"/>
      <c r="E7" s="12" t="n"/>
      <c r="F7" s="12" t="n"/>
      <c r="G7" s="12" t="n"/>
      <c r="H7" s="6">
        <f>SUM(C7:G7)</f>
        <v/>
      </c>
      <c r="L7" s="17" t="inlineStr">
        <is>
          <t>Наименование операции</t>
        </is>
      </c>
      <c r="M7" s="18" t="inlineStr">
        <is>
          <t>№ строки</t>
        </is>
      </c>
      <c r="N7" s="19" t="inlineStr">
        <is>
          <t>Число операций, проведенных  в стационаре</t>
        </is>
      </c>
      <c r="O7" s="34" t="n"/>
      <c r="P7" s="34" t="n"/>
      <c r="Q7" s="34" t="n"/>
      <c r="R7" s="20" t="inlineStr">
        <is>
          <t>из гр.3 направлено материалов на морфол. исследование</t>
        </is>
      </c>
      <c r="S7" s="21" t="inlineStr">
        <is>
          <t>Число операций, проведенных в стационаре</t>
        </is>
      </c>
      <c r="T7" s="35" t="n"/>
      <c r="U7" s="21" t="n"/>
      <c r="V7" s="35" t="n"/>
      <c r="W7" s="21" t="n"/>
      <c r="X7" s="35" t="n"/>
    </row>
    <row r="8" ht="33" customHeight="1">
      <c r="B8" s="7" t="inlineStr">
        <is>
          <t>ПТА</t>
        </is>
      </c>
      <c r="C8" s="12" t="n"/>
      <c r="D8" s="12" t="n"/>
      <c r="E8" s="12" t="n"/>
      <c r="F8" s="12" t="n"/>
      <c r="G8" s="12" t="n"/>
      <c r="H8" s="6">
        <f>SUM(C8:G8)</f>
        <v/>
      </c>
      <c r="L8" s="36" t="n"/>
      <c r="M8" s="37" t="n"/>
      <c r="N8" s="19" t="inlineStr">
        <is>
          <t>всего</t>
        </is>
      </c>
      <c r="O8" s="19" t="inlineStr">
        <is>
          <t>из них - детям 0-17 лет включительно</t>
        </is>
      </c>
      <c r="P8" s="34" t="n"/>
      <c r="Q8" s="34" t="n"/>
      <c r="R8" s="38" t="n"/>
      <c r="S8" s="21" t="inlineStr">
        <is>
          <t>Всего (из гр.3 т.4000)</t>
        </is>
      </c>
      <c r="T8" s="21" t="n"/>
      <c r="U8" s="21" t="n"/>
      <c r="V8" s="21" t="n"/>
      <c r="W8" s="21" t="n"/>
      <c r="X8" s="21" t="n"/>
    </row>
    <row r="9" ht="51.75" customHeight="1">
      <c r="B9" s="7" t="inlineStr">
        <is>
          <t>Миринготомия экстр</t>
        </is>
      </c>
      <c r="C9" s="12" t="n"/>
      <c r="D9" s="12" t="n"/>
      <c r="E9" s="12" t="n"/>
      <c r="F9" s="12" t="n"/>
      <c r="G9" s="12" t="n"/>
      <c r="H9" s="6">
        <f>SUM(C9:G9)</f>
        <v/>
      </c>
      <c r="L9" s="36" t="n"/>
      <c r="M9" s="37" t="n"/>
      <c r="N9" s="34" t="n"/>
      <c r="O9" s="19" t="inlineStr">
        <is>
          <t>0-14 лет включи-тельно</t>
        </is>
      </c>
      <c r="P9" s="19" t="inlineStr">
        <is>
          <t>из гр.4 в возрасте до 1 года</t>
        </is>
      </c>
      <c r="Q9" s="19" t="inlineStr">
        <is>
          <t>15-17 лет включи-тельно</t>
        </is>
      </c>
      <c r="R9" s="38" t="n"/>
      <c r="S9" s="21" t="n"/>
      <c r="T9" s="21" t="n"/>
      <c r="U9" s="21" t="n"/>
      <c r="V9" s="21" t="n"/>
      <c r="W9" s="21" t="n"/>
      <c r="X9" s="21" t="n"/>
    </row>
    <row r="10" ht="15.75" customHeight="1">
      <c r="B10" s="5" t="inlineStr">
        <is>
          <t>Полипотомия</t>
        </is>
      </c>
      <c r="C10" s="12" t="n"/>
      <c r="D10" s="12" t="n"/>
      <c r="E10" s="12" t="n"/>
      <c r="F10" s="12" t="n"/>
      <c r="G10" s="12" t="n"/>
      <c r="H10" s="6">
        <f>SUM(C10:G10)</f>
        <v/>
      </c>
      <c r="L10" s="24" t="inlineStr">
        <is>
          <t>1</t>
        </is>
      </c>
      <c r="M10" s="25" t="inlineStr">
        <is>
          <t>2</t>
        </is>
      </c>
      <c r="N10" s="25" t="inlineStr">
        <is>
          <t>3</t>
        </is>
      </c>
      <c r="O10" s="25" t="inlineStr">
        <is>
          <t>4</t>
        </is>
      </c>
      <c r="P10" s="25" t="inlineStr">
        <is>
          <t>5</t>
        </is>
      </c>
      <c r="Q10" s="25" t="inlineStr">
        <is>
          <t>6</t>
        </is>
      </c>
      <c r="R10" s="20" t="inlineStr">
        <is>
          <t>28</t>
        </is>
      </c>
      <c r="S10" s="25" t="inlineStr">
        <is>
          <t>3</t>
        </is>
      </c>
    </row>
    <row r="11" ht="15.75" customHeight="1">
      <c r="B11" s="5" t="inlineStr">
        <is>
          <t>Септопластика</t>
        </is>
      </c>
      <c r="C11" s="12" t="n"/>
      <c r="D11" s="12" t="n"/>
      <c r="E11" s="12" t="n"/>
      <c r="F11" s="12" t="n"/>
      <c r="G11" s="12" t="n"/>
      <c r="H11" s="6">
        <f>SUM(C11:G11)</f>
        <v/>
      </c>
      <c r="L11" s="26" t="inlineStr">
        <is>
          <t>операции на органах уха, горла, носа</t>
        </is>
      </c>
      <c r="M11" s="27" t="inlineStr">
        <is>
          <t>5</t>
        </is>
      </c>
      <c r="N11" s="12">
        <f>SUM(N12:N13)</f>
        <v/>
      </c>
      <c r="O11" s="28">
        <f>SUM(O12:O13)</f>
        <v/>
      </c>
      <c r="P11" s="12" t="n"/>
      <c r="Q11" s="28">
        <f>SUM(Q12+Q13)</f>
        <v/>
      </c>
      <c r="R11" s="28">
        <f>SUM(R12+R13+H25)</f>
        <v/>
      </c>
      <c r="S11" s="12" t="n"/>
    </row>
    <row r="12" ht="15.75" customHeight="1">
      <c r="B12" s="5" t="inlineStr">
        <is>
          <t>Гайморотомия</t>
        </is>
      </c>
      <c r="C12" s="12" t="n"/>
      <c r="D12" s="12" t="n"/>
      <c r="E12" s="12" t="n"/>
      <c r="F12" s="12" t="n"/>
      <c r="G12" s="12" t="n"/>
      <c r="H12" s="6">
        <f>SUM(C12:G12)</f>
        <v/>
      </c>
      <c r="L12" s="29" t="inlineStr">
        <is>
          <t>из них - на ухе</t>
        </is>
      </c>
      <c r="M12" s="25" t="inlineStr">
        <is>
          <t>5.1</t>
        </is>
      </c>
      <c r="N12" s="12">
        <f>SUM(H6+H9+H16+H22+H26+H24+H32)</f>
        <v/>
      </c>
      <c r="O12" s="28">
        <f>SUM(H6)-Q12</f>
        <v/>
      </c>
      <c r="P12" s="12" t="n"/>
      <c r="Q12" s="28" t="n">
        <v>0</v>
      </c>
      <c r="R12" s="28">
        <f>SUM(H22+H26)</f>
        <v/>
      </c>
      <c r="S12" s="12" t="n"/>
    </row>
    <row r="13" ht="15.75" customHeight="1">
      <c r="B13" s="5" t="inlineStr">
        <is>
          <t>Тозиллэктомия</t>
        </is>
      </c>
      <c r="C13" s="12" t="n"/>
      <c r="D13" s="12" t="n"/>
      <c r="E13" s="12" t="n"/>
      <c r="F13" s="12" t="n"/>
      <c r="G13" s="12" t="n"/>
      <c r="H13" s="6">
        <f>SUM(C13:G13)</f>
        <v/>
      </c>
      <c r="L13" s="29" t="inlineStr">
        <is>
          <t xml:space="preserve"> на миндалинах и аденоидах</t>
        </is>
      </c>
      <c r="M13" s="25" t="inlineStr">
        <is>
          <t>5.2</t>
        </is>
      </c>
      <c r="N13" s="12">
        <f>SUM(H4+H5+H8+H13)</f>
        <v/>
      </c>
      <c r="O13" s="28">
        <f>SUM(H4+H5)-Q13</f>
        <v/>
      </c>
      <c r="P13" s="12" t="n"/>
      <c r="Q13" s="28" t="n">
        <v>0</v>
      </c>
      <c r="R13" s="28">
        <f>SUM(H4+H5+H13)</f>
        <v/>
      </c>
      <c r="S13" s="12" t="n"/>
    </row>
    <row r="14" ht="15.75" customHeight="1">
      <c r="B14" s="5" t="inlineStr">
        <is>
          <t>Увулопластика</t>
        </is>
      </c>
      <c r="C14" s="12" t="n"/>
      <c r="D14" s="12" t="n"/>
      <c r="E14" s="12" t="n"/>
      <c r="F14" s="12" t="n"/>
      <c r="G14" s="12" t="n"/>
      <c r="H14" s="6">
        <f>SUM(C14:G14)</f>
        <v/>
      </c>
      <c r="L14" s="26" t="inlineStr">
        <is>
          <t>операции на органах дыхания</t>
        </is>
      </c>
      <c r="M14" s="27" t="inlineStr">
        <is>
          <t>6</t>
        </is>
      </c>
      <c r="N14" s="12">
        <f>SUM(H7+H10+H11+H12+H14+H15+H17+H18+H20+H21+H23+H25+H27+H30+H31+H19+H34+H36+H28+H37)</f>
        <v/>
      </c>
      <c r="O14" s="28" t="n">
        <v>0</v>
      </c>
      <c r="P14" s="12" t="n"/>
      <c r="Q14" s="28" t="n">
        <v>0</v>
      </c>
      <c r="R14" s="28">
        <f>SUM(H10+H12+H14+H27+H28+H37)</f>
        <v/>
      </c>
      <c r="S14" s="12" t="n"/>
    </row>
    <row r="15" ht="15.75" customHeight="1">
      <c r="B15" s="5" t="inlineStr">
        <is>
          <t>Пластика нёба</t>
        </is>
      </c>
      <c r="C15" s="12" t="n"/>
      <c r="D15" s="12" t="n"/>
      <c r="E15" s="12" t="n"/>
      <c r="F15" s="12" t="n"/>
      <c r="G15" s="12" t="n"/>
      <c r="H15" s="6">
        <f>SUM(C15:G15)</f>
        <v/>
      </c>
      <c r="L15" s="29" t="inlineStr">
        <is>
          <t>из них - на трахее</t>
        </is>
      </c>
      <c r="M15" s="25" t="inlineStr">
        <is>
          <t>6.1</t>
        </is>
      </c>
      <c r="N15" s="12">
        <f>SUM(H18)</f>
        <v/>
      </c>
      <c r="O15" s="12" t="n">
        <v>0</v>
      </c>
      <c r="P15" s="12" t="n"/>
      <c r="Q15" s="12" t="n"/>
      <c r="R15" s="12" t="n">
        <v>0</v>
      </c>
      <c r="S15" s="12" t="n"/>
    </row>
    <row r="16" ht="15.75" customHeight="1">
      <c r="B16" s="7" t="inlineStr">
        <is>
          <t>Фурункул НСП</t>
        </is>
      </c>
      <c r="C16" s="12" t="n"/>
      <c r="D16" s="12" t="n"/>
      <c r="E16" s="12" t="n"/>
      <c r="F16" s="12" t="n"/>
      <c r="G16" s="12" t="n"/>
      <c r="H16" s="6">
        <f>SUM(C16:G16)</f>
        <v/>
      </c>
      <c r="L16" s="26" t="inlineStr">
        <is>
          <t>операции на коже и подкожной клетчатке</t>
        </is>
      </c>
      <c r="M16" s="27" t="inlineStr">
        <is>
          <t>17</t>
        </is>
      </c>
      <c r="N16" s="12">
        <f>SUM(H35+H33+H29)</f>
        <v/>
      </c>
      <c r="O16" s="28" t="n">
        <v>0</v>
      </c>
      <c r="P16" s="28" t="n"/>
      <c r="Q16" s="28" t="n">
        <v>0</v>
      </c>
      <c r="R16" s="28" t="n">
        <v>0</v>
      </c>
      <c r="S16" s="28" t="n"/>
    </row>
    <row r="17" ht="15.75" customHeight="1">
      <c r="B17" s="7" t="inlineStr">
        <is>
          <t>Фурункул носа</t>
        </is>
      </c>
      <c r="C17" s="12" t="n"/>
      <c r="D17" s="12" t="n"/>
      <c r="E17" s="12" t="n"/>
      <c r="F17" s="12" t="n"/>
      <c r="G17" s="12" t="n"/>
      <c r="H17" s="6">
        <f>SUM(C17:G17)</f>
        <v/>
      </c>
      <c r="L17" s="29" t="inlineStr">
        <is>
          <t>Операции лицам пенсионного возраста</t>
        </is>
      </c>
      <c r="M17" s="12" t="n"/>
      <c r="N17" s="30" t="n">
        <v>0</v>
      </c>
      <c r="O17" s="12" t="n">
        <v>0</v>
      </c>
      <c r="P17" s="12" t="n"/>
      <c r="Q17" s="12" t="n"/>
      <c r="R17" s="12" t="n">
        <v>0</v>
      </c>
      <c r="S17" s="12" t="n"/>
    </row>
    <row r="18" ht="15.75" customHeight="1">
      <c r="B18" s="7" t="inlineStr">
        <is>
          <t>Трахеостомия</t>
        </is>
      </c>
      <c r="C18" s="12" t="n"/>
      <c r="D18" s="12" t="n"/>
      <c r="E18" s="12" t="n"/>
      <c r="F18" s="12" t="n"/>
      <c r="G18" s="12" t="n"/>
      <c r="H18" s="6">
        <f>SUM(C18:G18)</f>
        <v/>
      </c>
      <c r="L18" s="26" t="inlineStr">
        <is>
          <t>Всего операций</t>
        </is>
      </c>
      <c r="M18" s="12" t="n"/>
      <c r="N18" s="30">
        <f>N16+N14+N11</f>
        <v/>
      </c>
      <c r="O18" s="28">
        <f>SUM(O11+O14+O16)-Q14</f>
        <v/>
      </c>
      <c r="P18" s="12" t="n"/>
      <c r="Q18" s="28">
        <f>SUM(Q11+Q14+Q16)</f>
        <v/>
      </c>
      <c r="R18" s="28">
        <f>SUM(R11+R14+R16)</f>
        <v/>
      </c>
      <c r="S18" s="28">
        <f>SUM(S11+S14+S16)</f>
        <v/>
      </c>
    </row>
    <row r="19" ht="37.5" customHeight="1">
      <c r="B19" s="7" t="inlineStr">
        <is>
          <t>Репозиция костей носа</t>
        </is>
      </c>
      <c r="C19" s="12" t="n"/>
      <c r="D19" s="12" t="n"/>
      <c r="E19" s="12" t="n"/>
      <c r="F19" s="12" t="n"/>
      <c r="G19" s="12" t="n"/>
      <c r="H19" s="6">
        <f>SUM(C19:G19)</f>
        <v/>
      </c>
    </row>
    <row r="20" ht="15.75" customHeight="1">
      <c r="B20" s="7" t="inlineStr">
        <is>
          <t>Флегмона шеи</t>
        </is>
      </c>
      <c r="C20" s="12" t="n"/>
      <c r="D20" s="12" t="n"/>
      <c r="E20" s="12" t="n"/>
      <c r="F20" s="12" t="n"/>
      <c r="G20" s="12" t="n"/>
      <c r="H20" s="6">
        <f>SUM(C20:G20)</f>
        <v/>
      </c>
      <c r="L20" s="12" t="inlineStr">
        <is>
          <t>Эндоскопических всего</t>
        </is>
      </c>
      <c r="M20" s="12" t="n"/>
      <c r="N20" s="12">
        <f>H4+H7+H10+H11+H12+H13+H28+H37</f>
        <v/>
      </c>
    </row>
    <row r="21" ht="15.75" customHeight="1">
      <c r="B21" s="7" t="inlineStr">
        <is>
          <t>Остановка кров</t>
        </is>
      </c>
      <c r="C21" s="12" t="n"/>
      <c r="D21" s="12" t="n"/>
      <c r="E21" s="12" t="n"/>
      <c r="F21" s="12" t="n"/>
      <c r="G21" s="12" t="n"/>
      <c r="H21" s="6">
        <f>SUM(C21:G21)</f>
        <v/>
      </c>
    </row>
    <row r="22" ht="23.25" customHeight="1">
      <c r="B22" s="5" t="inlineStr">
        <is>
          <t>Рубцы мочки уха</t>
        </is>
      </c>
      <c r="C22" s="12" t="n"/>
      <c r="D22" s="12" t="n"/>
      <c r="E22" s="12" t="n"/>
      <c r="F22" s="12" t="n"/>
      <c r="G22" s="12" t="n"/>
      <c r="H22" s="6">
        <f>SUM(C22:G22)</f>
        <v/>
      </c>
    </row>
    <row r="23" ht="15.75" customHeight="1">
      <c r="B23" s="5" t="inlineStr">
        <is>
          <t>Синехии нос</t>
        </is>
      </c>
      <c r="C23" s="12" t="n"/>
      <c r="D23" s="12" t="n"/>
      <c r="E23" s="12" t="n"/>
      <c r="F23" s="12" t="n"/>
      <c r="G23" s="12" t="n"/>
      <c r="H23" s="6">
        <f>SUM(C23:G23)</f>
        <v/>
      </c>
    </row>
    <row r="24" ht="19.5" customHeight="1">
      <c r="B24" s="7" t="inlineStr">
        <is>
          <t>Антромастоидотомия</t>
        </is>
      </c>
      <c r="C24" s="12" t="n"/>
      <c r="D24" s="12" t="n"/>
      <c r="E24" s="12" t="n"/>
      <c r="F24" s="12" t="n"/>
      <c r="G24" s="12" t="n"/>
      <c r="H24" s="6">
        <f>SUM(C24:G24)</f>
        <v/>
      </c>
    </row>
    <row r="25" ht="37.5" customHeight="1">
      <c r="B25" s="5" t="inlineStr">
        <is>
          <t>Удаление новообр носа</t>
        </is>
      </c>
      <c r="C25" s="12" t="n"/>
      <c r="D25" s="12" t="n"/>
      <c r="E25" s="12" t="n"/>
      <c r="F25" s="12" t="n"/>
      <c r="G25" s="12" t="n"/>
      <c r="H25" s="6">
        <f>SUM(C25:G25)</f>
        <v/>
      </c>
    </row>
    <row r="26" ht="31.5" customHeight="1">
      <c r="B26" s="5" t="inlineStr">
        <is>
          <t>Удаление новообр уха</t>
        </is>
      </c>
      <c r="C26" s="12" t="n"/>
      <c r="D26" s="12" t="n"/>
      <c r="E26" s="12" t="n"/>
      <c r="F26" s="12" t="n"/>
      <c r="G26" s="12" t="n"/>
      <c r="H26" s="6">
        <f>SUM(C26:G26)</f>
        <v/>
      </c>
    </row>
    <row r="27" ht="30.75" customHeight="1">
      <c r="B27" s="5" t="inlineStr">
        <is>
          <t>Удаление новообр глотки</t>
        </is>
      </c>
      <c r="C27" s="12" t="n"/>
      <c r="D27" s="12" t="n"/>
      <c r="E27" s="12" t="n"/>
      <c r="F27" s="12" t="n"/>
      <c r="G27" s="12" t="n"/>
      <c r="H27" s="6">
        <f>SUM(C27:G27)</f>
        <v/>
      </c>
    </row>
    <row r="28" ht="37.5" customHeight="1">
      <c r="B28" s="5" t="inlineStr">
        <is>
          <t>Удаление новообр гортани</t>
        </is>
      </c>
      <c r="C28" s="12" t="n"/>
      <c r="D28" s="12" t="n"/>
      <c r="E28" s="12" t="n"/>
      <c r="F28" s="12" t="n"/>
      <c r="G28" s="12" t="n"/>
      <c r="H28" s="6">
        <f>SUM(C28:G28)</f>
        <v/>
      </c>
    </row>
    <row r="29" ht="15.75" customHeight="1">
      <c r="B29" s="7" t="inlineStr">
        <is>
          <t>ПХО</t>
        </is>
      </c>
      <c r="C29" s="12" t="n"/>
      <c r="D29" s="12" t="n"/>
      <c r="E29" s="12" t="n"/>
      <c r="F29" s="12" t="n"/>
      <c r="G29" s="12" t="n"/>
      <c r="H29" s="6">
        <f>SUM(C29:G29)</f>
        <v/>
      </c>
    </row>
    <row r="30" ht="29.25" customHeight="1">
      <c r="B30" s="7" t="inlineStr">
        <is>
          <t>Удаление инородного тела</t>
        </is>
      </c>
      <c r="C30" s="12" t="n"/>
      <c r="D30" s="12" t="n"/>
      <c r="E30" s="12" t="n"/>
      <c r="F30" s="12" t="n"/>
      <c r="G30" s="12" t="n"/>
      <c r="H30" s="6">
        <f>SUM(C30:G30)</f>
        <v/>
      </c>
    </row>
    <row r="31" ht="15.75" customHeight="1">
      <c r="B31" s="7" t="inlineStr">
        <is>
          <t>Фронтотомия</t>
        </is>
      </c>
      <c r="C31" s="12" t="n"/>
      <c r="D31" s="12" t="n"/>
      <c r="E31" s="12" t="n"/>
      <c r="F31" s="12" t="n"/>
      <c r="G31" s="12" t="n"/>
      <c r="H31" s="6">
        <f>SUM(C31:G31)</f>
        <v/>
      </c>
    </row>
    <row r="32" ht="42" customHeight="1">
      <c r="B32" s="7" t="inlineStr">
        <is>
          <t>Субперостальный абсцесс за ухом</t>
        </is>
      </c>
      <c r="C32" s="12" t="n"/>
      <c r="D32" s="12" t="n"/>
      <c r="E32" s="12" t="n"/>
      <c r="F32" s="12" t="n"/>
      <c r="G32" s="12" t="n"/>
      <c r="H32" s="6">
        <f>SUM(C32:G32)</f>
        <v/>
      </c>
    </row>
    <row r="33" ht="34.5" customHeight="1">
      <c r="B33" s="5" t="inlineStr">
        <is>
          <t>Пластика местными тканями</t>
        </is>
      </c>
      <c r="C33" s="12" t="n"/>
      <c r="D33" s="12" t="n"/>
      <c r="E33" s="12" t="n"/>
      <c r="F33" s="12" t="n"/>
      <c r="G33" s="12" t="n"/>
      <c r="H33" s="6">
        <f>SUM(C33:G33)</f>
        <v/>
      </c>
    </row>
    <row r="34" ht="27.75" customHeight="1">
      <c r="B34" s="7" t="inlineStr">
        <is>
          <t>Ревизия п/о полости</t>
        </is>
      </c>
      <c r="C34" s="12" t="n"/>
      <c r="D34" s="12" t="n"/>
      <c r="E34" s="12" t="n"/>
      <c r="F34" s="12" t="n"/>
      <c r="G34" s="12" t="n"/>
      <c r="H34" s="6">
        <f>SUM(C34:G34)</f>
        <v/>
      </c>
    </row>
    <row r="35" ht="39.75" customHeight="1">
      <c r="B35" s="5" t="inlineStr">
        <is>
          <t>Наложение вторичных швов</t>
        </is>
      </c>
      <c r="C35" s="12" t="n"/>
      <c r="D35" s="12" t="n"/>
      <c r="E35" s="12" t="n"/>
      <c r="F35" s="12" t="n"/>
      <c r="G35" s="12" t="n"/>
      <c r="H35" s="6">
        <f>SUM(C35:G35)</f>
        <v/>
      </c>
    </row>
    <row r="36" ht="15.75" customHeight="1">
      <c r="B36" s="7" t="inlineStr">
        <is>
          <t>Заглоточный абсцесс</t>
        </is>
      </c>
      <c r="C36" s="12" t="n"/>
      <c r="D36" s="12" t="n"/>
      <c r="E36" s="12" t="n"/>
      <c r="F36" s="12" t="n"/>
      <c r="G36" s="12" t="n"/>
      <c r="H36" s="6">
        <f>SUM(C36:G36)</f>
        <v/>
      </c>
    </row>
    <row r="37" ht="15.75" customHeight="1">
      <c r="B37" s="9" t="inlineStr">
        <is>
          <t xml:space="preserve">Биопсия гортани </t>
        </is>
      </c>
      <c r="C37" s="12" t="n"/>
      <c r="D37" s="12" t="n"/>
      <c r="E37" s="12" t="n"/>
      <c r="F37" s="12" t="n"/>
      <c r="G37" s="12" t="n"/>
      <c r="H37" s="6">
        <f>SUM(C37:G37)</f>
        <v/>
      </c>
    </row>
    <row r="40">
      <c r="B40" s="10" t="inlineStr">
        <is>
          <t>Всего операций</t>
        </is>
      </c>
      <c r="C40" s="12">
        <f>SUM(C4:C37)</f>
        <v/>
      </c>
      <c r="D40" s="12">
        <f>SUM(D4:D37)</f>
        <v/>
      </c>
      <c r="E40" s="12">
        <f>SUM(E4:E37)</f>
        <v/>
      </c>
      <c r="F40" s="12">
        <f>SUM(F4:F37)</f>
        <v/>
      </c>
      <c r="G40" s="12">
        <f>SUM(G4:G37)</f>
        <v/>
      </c>
      <c r="H40" s="39">
        <f>SUM(C40:G40)</f>
        <v/>
      </c>
    </row>
    <row r="41">
      <c r="B41" s="10" t="inlineStr">
        <is>
          <t>Экстренно операций</t>
        </is>
      </c>
      <c r="C41" s="12">
        <f>SUM(C8+C9+C16+C17+C18+C19+C20+C21+C24+C29+C30+C31+C32+C34+C36)</f>
        <v/>
      </c>
      <c r="D41" s="12">
        <f>SUM(D8+D9+D16+D17+D18+D19+D20+D21+D24+D29+D30+D31+D32+D34+D36)</f>
        <v/>
      </c>
      <c r="E41" s="12">
        <f>SUM(E8+E9+E16+E17+E18+E19+E20+E21+E24+E29+E30+E31+E32+E34+E36)</f>
        <v/>
      </c>
      <c r="F41" s="12">
        <f>SUM(F8+F9+F16+F17+F18+F19+F20+F21+F24+F29+F30+F31+F32+F34+F36)</f>
        <v/>
      </c>
      <c r="G41" s="12">
        <f>SUM(G8+G9+G16+G17+G18+G19+G20+G21+G24+G29+G30+G31+G32+G34+G36)</f>
        <v/>
      </c>
      <c r="H41" s="39">
        <f>SUM(C41:G41)</f>
        <v/>
      </c>
    </row>
    <row r="42">
      <c r="B42" s="10" t="inlineStr">
        <is>
          <t>План операций</t>
        </is>
      </c>
      <c r="C42" s="12">
        <f>SUM(C4+C5+C6+C7+C10+C11+C12+C13+C14+C15+C22+C23+C25+C26+C27+C28+C33+C35+C37)</f>
        <v/>
      </c>
      <c r="D42" s="12">
        <f>SUM(D4+D5+D6+D7+D10+D11+D12+D13+D14+D15+D22+D23+D25+D26+D27+D28+D33+D35+D37)</f>
        <v/>
      </c>
      <c r="E42" s="12">
        <f>SUM(E4+E5+E6+E7+E10+E11+E12+E13+E14+E15+E22+E23+E25+E26+E27+E28+E33+E35+E37)</f>
        <v/>
      </c>
      <c r="F42" s="12">
        <f>SUM(F4+F5+F6+F7+F10+F11+F12+F13+F14+F15+F22+F23+F25+F26+F27+F28+F33+F35+F37)</f>
        <v/>
      </c>
      <c r="G42" s="12">
        <f>SUM(G4+G5+G6+G7+G10+G11+G12+G13+G14+G15+G22+G23+G25+G26+G27+G28+G33+G35+G37)</f>
        <v/>
      </c>
      <c r="H42" s="39">
        <f>SUM(C42:G42)</f>
        <v/>
      </c>
    </row>
    <row r="43">
      <c r="B43" s="11" t="inlineStr">
        <is>
          <t>Дети всего</t>
        </is>
      </c>
      <c r="C43" s="40" t="n"/>
      <c r="D43" s="40" t="n"/>
      <c r="E43" s="40" t="n"/>
      <c r="F43" s="40" t="n"/>
      <c r="G43" s="40" t="n"/>
      <c r="H43" s="39">
        <f>SUM(C43:G43)</f>
        <v/>
      </c>
    </row>
    <row r="44">
      <c r="B44" s="10" t="inlineStr">
        <is>
          <t xml:space="preserve">Взрослые </t>
        </is>
      </c>
      <c r="C44" s="12">
        <f>C45-C43</f>
        <v/>
      </c>
      <c r="D44" s="12">
        <f>D45-D43</f>
        <v/>
      </c>
      <c r="E44" s="12">
        <f>E45-E43</f>
        <v/>
      </c>
      <c r="F44" s="12">
        <f>F45-F43</f>
        <v/>
      </c>
      <c r="G44" s="12">
        <f>G45-G43</f>
        <v/>
      </c>
      <c r="H44" s="39">
        <f>SUM(C44:G44)</f>
        <v/>
      </c>
    </row>
    <row r="45" ht="51" customHeight="1">
      <c r="B45" s="12" t="inlineStr">
        <is>
          <t>Человек</t>
        </is>
      </c>
      <c r="C45" s="41" t="n"/>
      <c r="D45" s="12" t="n"/>
      <c r="E45" s="12" t="n"/>
      <c r="F45" s="12" t="n"/>
      <c r="G45" s="12" t="n"/>
      <c r="H45" s="39">
        <f>SUM(C45:G45)</f>
        <v/>
      </c>
    </row>
    <row r="47">
      <c r="B47" s="13" t="inlineStr">
        <is>
          <t xml:space="preserve">% Плановых </t>
        </is>
      </c>
      <c r="C47" s="42">
        <f>C42*100/C40</f>
        <v/>
      </c>
      <c r="D47" s="42">
        <f>D42*100/D40</f>
        <v/>
      </c>
      <c r="E47" s="42">
        <f>E42*100/E40</f>
        <v/>
      </c>
      <c r="F47" s="42">
        <f>F42*100/F40</f>
        <v/>
      </c>
      <c r="G47" s="42">
        <f>G42*100/G40</f>
        <v/>
      </c>
      <c r="H47" s="42">
        <f>H42*100/H40</f>
        <v/>
      </c>
    </row>
    <row r="48">
      <c r="B48" s="12" t="inlineStr">
        <is>
          <t>% Экстренных</t>
        </is>
      </c>
      <c r="C48" s="43">
        <f>C41*100/C40</f>
        <v/>
      </c>
      <c r="D48" s="43">
        <f>D41*100/D40</f>
        <v/>
      </c>
      <c r="E48" s="43">
        <f>E41*100/E40</f>
        <v/>
      </c>
      <c r="F48" s="43">
        <f>F41*100/F40</f>
        <v/>
      </c>
      <c r="G48" s="43">
        <f>G41*100/G40</f>
        <v/>
      </c>
      <c r="H48" s="14">
        <f>H41*100/H40</f>
        <v/>
      </c>
    </row>
  </sheetData>
  <mergeCells count="1">
    <mergeCell ref="A1:AH1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C40" sqref="C40"/>
    </sheetView>
  </sheetViews>
  <sheetFormatPr baseColWidth="8" defaultColWidth="9" defaultRowHeight="16.8"/>
  <cols>
    <col width="47.140625" customWidth="1" min="2" max="2"/>
    <col width="9.140625" customWidth="1" style="1" min="3" max="3"/>
    <col width="43.4296875" customWidth="1" min="7" max="7"/>
    <col width="8.859375" customWidth="1" min="9" max="12"/>
  </cols>
  <sheetData>
    <row r="1" ht="21" customHeight="1">
      <c r="A1" s="2" t="inlineStr">
        <is>
          <t>Оториноларингологическое отделение ОБЩАЯ 2025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4" t="n"/>
    </row>
    <row r="3" ht="15.75" customHeight="1">
      <c r="C3" s="1" t="inlineStr">
        <is>
          <t>ИТОГ</t>
        </is>
      </c>
    </row>
    <row r="4" ht="15.75" customHeight="1">
      <c r="B4" s="5" t="inlineStr">
        <is>
          <t>Аденотомия</t>
        </is>
      </c>
      <c r="C4" s="6">
        <f>SUM(Январь!H4+Февраль!H4+Март!H4+Апрель!H4+Май!H4+Июнь!H4+Июль!H4+Август!H4+Сентябрь!H4+'Октябрь '!H4+Ноябрь!H4+Декабрь!H4)</f>
        <v/>
      </c>
    </row>
    <row r="5" ht="15.75" customHeight="1">
      <c r="B5" s="5" t="inlineStr">
        <is>
          <t>Тонзиллотомия</t>
        </is>
      </c>
      <c r="C5" s="6">
        <f>SUM(Январь!H5+Февраль!H5+Март!H5+Апрель!H5+Май!H5+Июнь!H5+Июль!H5+Август!H5+Сентябрь!H5+'Октябрь '!H5+Ноябрь!H5+Декабрь!H5)</f>
        <v/>
      </c>
    </row>
    <row r="6" ht="37.5" customHeight="1">
      <c r="B6" s="5" t="inlineStr">
        <is>
          <t>Миринготомия план</t>
        </is>
      </c>
      <c r="C6" s="6">
        <f>SUM(Январь!H6+Февраль!H6+Март!H6+Апрель!H6+Май!H6+Июнь!H6+Июль!H6+Август!H6+Сентябрь!H6+'Октябрь '!H6+Ноябрь!H6+Декабрь!H6)</f>
        <v/>
      </c>
      <c r="N6" s="16" t="inlineStr">
        <is>
          <t>ХИРУРГИЧЕСКАЯ РАБОТА ОРГАНИЗАЦИИ (лица старше трудоспособного возраста) 4001</t>
        </is>
      </c>
      <c r="O6" s="3" t="n"/>
      <c r="P6" s="3" t="n"/>
      <c r="Q6" s="3" t="n"/>
      <c r="R6" s="3" t="n"/>
      <c r="S6" s="4" t="n"/>
    </row>
    <row r="7" ht="38.25" customHeight="1">
      <c r="B7" s="5" t="inlineStr">
        <is>
          <t>Пластика раковин</t>
        </is>
      </c>
      <c r="C7" s="6">
        <f>SUM(Январь!H7+Февраль!H7+Март!H7+Апрель!H7+Май!H7+Июнь!H7+Июль!H7+Август!H7+Сентябрь!H7+'Октябрь '!H7+Ноябрь!H7+Декабрь!H7)</f>
        <v/>
      </c>
      <c r="G7" s="17" t="inlineStr">
        <is>
          <t>Наименование операции</t>
        </is>
      </c>
      <c r="H7" s="18" t="inlineStr">
        <is>
          <t>№ строки</t>
        </is>
      </c>
      <c r="I7" s="19" t="inlineStr">
        <is>
          <t>Число операций, проведенных  в стационаре</t>
        </is>
      </c>
      <c r="J7" s="3" t="n"/>
      <c r="K7" s="3" t="n"/>
      <c r="L7" s="4" t="n"/>
      <c r="M7" s="20" t="inlineStr">
        <is>
          <t>из гр.3 направлено материалов на морфол. исследование</t>
        </is>
      </c>
      <c r="N7" s="21" t="inlineStr">
        <is>
          <t>Число операций, проведенных в стационаре</t>
        </is>
      </c>
      <c r="O7" s="4" t="n"/>
      <c r="P7" s="21" t="n"/>
      <c r="Q7" s="4" t="n"/>
      <c r="R7" s="21" t="n"/>
      <c r="S7" s="4" t="n"/>
    </row>
    <row r="8" ht="33" customHeight="1">
      <c r="B8" s="7" t="inlineStr">
        <is>
          <t>ПТА</t>
        </is>
      </c>
      <c r="C8" s="6">
        <f>SUM(Январь!H8+Февраль!H8+Март!H8+Апрель!H8+Май!H8+Июнь!H8+Июль!H8+Август!H8+Сентябрь!H8+'Октябрь '!H8+Ноябрь!H8+Декабрь!H8)</f>
        <v/>
      </c>
      <c r="G8" s="22" t="n"/>
      <c r="H8" s="22" t="n"/>
      <c r="I8" s="19" t="inlineStr">
        <is>
          <t>всего</t>
        </is>
      </c>
      <c r="J8" s="19" t="inlineStr">
        <is>
          <t>из них - детям 0-17 лет включительно</t>
        </is>
      </c>
      <c r="K8" s="3" t="n"/>
      <c r="L8" s="4" t="n"/>
      <c r="M8" s="22" t="n"/>
      <c r="N8" s="21" t="inlineStr">
        <is>
          <t>Всего (из гр.3 т.4000)</t>
        </is>
      </c>
      <c r="O8" s="21" t="n"/>
      <c r="P8" s="21" t="n"/>
      <c r="Q8" s="21" t="n"/>
      <c r="R8" s="21" t="n"/>
      <c r="S8" s="21" t="n"/>
    </row>
    <row r="9" ht="51.75" customHeight="1">
      <c r="B9" s="7" t="inlineStr">
        <is>
          <t>Миринготомия экстр</t>
        </is>
      </c>
      <c r="C9" s="6">
        <f>SUM(Январь!H9+Февраль!H9+Март!H9+Апрель!H9+Май!H9+Июнь!H9+Июль!H9+Август!H9+Сентябрь!H9+'Октябрь '!H9+Ноябрь!H9+Декабрь!H9)</f>
        <v/>
      </c>
      <c r="G9" s="23" t="n"/>
      <c r="H9" s="23" t="n"/>
      <c r="I9" s="23" t="n"/>
      <c r="J9" s="19" t="inlineStr">
        <is>
          <t>0-14 лет включи-тельно</t>
        </is>
      </c>
      <c r="K9" s="19" t="inlineStr">
        <is>
          <t>из гр.4 в возрасте до 1 года</t>
        </is>
      </c>
      <c r="L9" s="19" t="inlineStr">
        <is>
          <t>15-17 лет включи-тельно</t>
        </is>
      </c>
      <c r="M9" s="23" t="n"/>
      <c r="N9" s="23" t="n"/>
      <c r="O9" s="23" t="n"/>
      <c r="P9" s="23" t="n"/>
      <c r="Q9" s="23" t="n"/>
      <c r="R9" s="23" t="n"/>
      <c r="S9" s="23" t="n"/>
    </row>
    <row r="10" ht="15.75" customHeight="1">
      <c r="B10" s="5" t="inlineStr">
        <is>
          <t>Полипотомия</t>
        </is>
      </c>
      <c r="C10" s="6">
        <f>SUM(Январь!H10+Февраль!H10+Март!H10+Апрель!H10+Май!H10+Июнь!H10+Июль!H10+Август!H10+Сентябрь!H10+'Октябрь '!H10+Ноябрь!H10+Декабрь!H10)</f>
        <v/>
      </c>
      <c r="G10" s="24" t="inlineStr">
        <is>
          <t>1</t>
        </is>
      </c>
      <c r="H10" s="25" t="inlineStr">
        <is>
          <t>2</t>
        </is>
      </c>
      <c r="I10" s="25" t="inlineStr">
        <is>
          <t>3</t>
        </is>
      </c>
      <c r="J10" s="25" t="inlineStr">
        <is>
          <t>4</t>
        </is>
      </c>
      <c r="K10" s="25" t="inlineStr">
        <is>
          <t>5</t>
        </is>
      </c>
      <c r="L10" s="25" t="inlineStr">
        <is>
          <t>6</t>
        </is>
      </c>
      <c r="M10" s="20" t="inlineStr">
        <is>
          <t>28</t>
        </is>
      </c>
      <c r="N10" s="25" t="inlineStr">
        <is>
          <t>3</t>
        </is>
      </c>
    </row>
    <row r="11" ht="15.75" customHeight="1">
      <c r="B11" s="5" t="inlineStr">
        <is>
          <t>Септопластика</t>
        </is>
      </c>
      <c r="C11" s="6">
        <f>SUM(Январь!H11+Февраль!H11+Март!H11+Апрель!H11+Май!H11+Июнь!H11+Июль!H11+Август!H11+Сентябрь!H11+'Октябрь '!H11+Ноябрь!H11+Декабрь!H11)</f>
        <v/>
      </c>
      <c r="G11" s="26" t="inlineStr">
        <is>
          <t>операции на органах уха, горла, носа</t>
        </is>
      </c>
      <c r="H11" s="27" t="inlineStr">
        <is>
          <t>5</t>
        </is>
      </c>
      <c r="I11" s="12">
        <f>SUM(I12:I13)</f>
        <v/>
      </c>
      <c r="J11" s="28">
        <f>SUM(Январь!O11+Февраль!O11+Март!O11+Апрель!O11+Май!O11+Июнь!O11+Июль!O11+Август!O11+Сентябрь!O11+'Октябрь '!O11+Ноябрь!O11+Декабрь!O11)</f>
        <v/>
      </c>
      <c r="K11" s="12" t="n"/>
      <c r="L11" s="28">
        <f>SUM(Январь!Q11+Февраль!Q11+Март!Q11+Апрель!Q11+Май!Q11+Июнь!Q11+Июль!Q11+Август!Q11+Сентябрь!Q11+'Октябрь '!Q11+Ноябрь!Q11+Декабрь!Q11)</f>
        <v/>
      </c>
      <c r="M11" s="28">
        <f>SUM(Январь!R11+Февраль!R11+Март!R11+Апрель!R11+Май!R11+Июнь!R11+Июль!R11+Август!R11+Сентябрь!R11+'Октябрь '!R11+Ноябрь!R11+Декабрь!R11)</f>
        <v/>
      </c>
      <c r="N11" s="28">
        <f>SUM(Январь!S11+Февраль!S11+Март!S11+Апрель!S11+Май!S11+Июнь!S11+Июль!S11+Август!S11+Сентябрь!S11+'Октябрь '!S11+Ноябрь!S11+Декабрь!S11)</f>
        <v/>
      </c>
    </row>
    <row r="12" ht="15.75" customHeight="1">
      <c r="B12" s="5" t="inlineStr">
        <is>
          <t>Гайморотомия</t>
        </is>
      </c>
      <c r="C12" s="6">
        <f>SUM(Январь!H12+Февраль!H12+Март!H12+Апрель!H12+Май!H12+Июнь!H12+Июль!H12+Август!H12+Сентябрь!H12+'Октябрь '!H12+Ноябрь!H12+Декабрь!H12)</f>
        <v/>
      </c>
      <c r="G12" s="29" t="inlineStr">
        <is>
          <t>из них - на ухе</t>
        </is>
      </c>
      <c r="H12" s="25" t="inlineStr">
        <is>
          <t>5.1</t>
        </is>
      </c>
      <c r="I12" s="12">
        <f>SUM(C6+C9+C16+C22+C26+C24+C32)</f>
        <v/>
      </c>
      <c r="J12" s="28">
        <f>SUM(Январь!O12+Февраль!O12+Март!O12+Апрель!O12+Май!O12+Июнь!O12+Июль!O12+Август!O12+Сентябрь!O12+'Октябрь '!O12+Ноябрь!O12+Декабрь!O12)</f>
        <v/>
      </c>
      <c r="K12" s="12" t="n"/>
      <c r="L12" s="28">
        <f>SUM(Январь!Q12+Февраль!Q12+Март!Q12+Апрель!Q12+Май!Q12+Июнь!Q12+Июль!Q12+Август!Q12+Сентябрь!Q12+'Октябрь '!Q12+Ноябрь!Q12+Декабрь!Q12)</f>
        <v/>
      </c>
      <c r="M12" s="28">
        <f>SUM(Январь!R12+Февраль!R12+Март!R12+Апрель!R12+Май!R12+Июнь!R12+Июль!R12+Август!R12+Сентябрь!R12+'Октябрь '!R12+Ноябрь!R12+Декабрь!R12)</f>
        <v/>
      </c>
      <c r="N12" s="28">
        <f>SUM(Январь!S12+Февраль!S12+Март!S12+Апрель!S12+Май!S12+Июнь!S12+Июль!S12+Август!S12+Сентябрь!S12+'Октябрь '!S12+Ноябрь!S12+Декабрь!S12)</f>
        <v/>
      </c>
    </row>
    <row r="13" ht="15.75" customHeight="1">
      <c r="B13" s="5" t="inlineStr">
        <is>
          <t>Тозиллэктомия</t>
        </is>
      </c>
      <c r="C13" s="6">
        <f>SUM(Январь!H13+Февраль!H13+Март!H13+Апрель!H13+Май!H13+Июнь!H13+Июль!H13+Август!H13+Сентябрь!H13+'Октябрь '!H13+Ноябрь!H13+Декабрь!H13)</f>
        <v/>
      </c>
      <c r="G13" s="29" t="inlineStr">
        <is>
          <t xml:space="preserve"> на миндалинах и аденоидах</t>
        </is>
      </c>
      <c r="H13" s="25" t="inlineStr">
        <is>
          <t>5.2</t>
        </is>
      </c>
      <c r="I13" s="12">
        <f>SUM(C4+C5+C8+C13)</f>
        <v/>
      </c>
      <c r="J13" s="28">
        <f>SUM(Январь!O13+Февраль!O13+Март!O13+Апрель!O13+Май!O13+Июнь!O13+Июль!O13+Август!O13+Сентябрь!O13+'Октябрь '!O13+Ноябрь!O13+Декабрь!O13)</f>
        <v/>
      </c>
      <c r="K13" s="12" t="n"/>
      <c r="L13" s="28">
        <f>SUM(Январь!Q13+Февраль!Q13+Март!Q13+Апрель!Q13+Май!Q13+Июнь!Q13+Июль!Q13+Август!Q13+Сентябрь!Q13+'Октябрь '!Q13+Ноябрь!Q13+Декабрь!Q13)</f>
        <v/>
      </c>
      <c r="M13" s="28">
        <f>SUM(Январь!R13+Февраль!R13+Март!R13+Апрель!R13+Май!R13+Июнь!R13+Июль!R13+Август!R13+Сентябрь!R13+'Октябрь '!R13+Ноябрь!R13+Декабрь!R13)</f>
        <v/>
      </c>
      <c r="N13" s="28">
        <f>SUM(Январь!S13+Февраль!S13+Март!S13+Апрель!S13+Май!S13+Июнь!S13+Июль!S13+Август!S13+Сентябрь!S13+'Октябрь '!S13+Ноябрь!S13+Декабрь!S13)</f>
        <v/>
      </c>
    </row>
    <row r="14" ht="15.75" customHeight="1">
      <c r="B14" s="5" t="inlineStr">
        <is>
          <t>Увулопластика</t>
        </is>
      </c>
      <c r="C14" s="6">
        <f>SUM(Январь!H14+Февраль!H14+Март!H14+Апрель!H14+Май!H14+Июнь!H14+Июль!H14+Август!H14+Сентябрь!H14+'Октябрь '!H14+Ноябрь!H14+Декабрь!H14)</f>
        <v/>
      </c>
      <c r="G14" s="26" t="inlineStr">
        <is>
          <t>операции на органах дыхания</t>
        </is>
      </c>
      <c r="H14" s="27" t="inlineStr">
        <is>
          <t>6</t>
        </is>
      </c>
      <c r="I14" s="12">
        <f>SUM(C7+C10+C11+C12+C14+C15+C17+C18+C20+C21+C23+C25+C27+C30+C31+C19+C34+C36+C28+C37)</f>
        <v/>
      </c>
      <c r="J14" s="28">
        <f>SUM(Январь!O14+Февраль!O14+Март!O14+Апрель!O14+Май!O14+Июнь!O14+Июль!O14+Август!O14+Сентябрь!O14+'Октябрь '!O14+Ноябрь!O14+Декабрь!O14)</f>
        <v/>
      </c>
      <c r="K14" s="28" t="n"/>
      <c r="L14" s="28">
        <f>SUM(Январь!Q14+Февраль!Q14+Март!Q14+Апрель!Q14+Май!Q14+Июнь!Q14+Июль!Q14+Август!Q14+Сентябрь!Q14+'Октябрь '!Q14+Ноябрь!Q14+Декабрь!Q14)</f>
        <v/>
      </c>
      <c r="M14" s="28">
        <f>SUM(Январь!R14+Февраль!R14+Март!R14+Апрель!R14+Май!R14+Июнь!R14+Июль!R14+Август!R14+Сентябрь!R14+'Октябрь '!R14+Ноябрь!R14+Декабрь!R14)</f>
        <v/>
      </c>
      <c r="N14" s="28">
        <f>SUM(Январь!S14+Февраль!S14+Март!S14+Апрель!S14+Май!S14+Июнь!S14+Июль!S14+Август!S14+Сентябрь!S14+'Октябрь '!S14+Ноябрь!S14+Декабрь!S14)</f>
        <v/>
      </c>
    </row>
    <row r="15" ht="15.75" customHeight="1">
      <c r="B15" s="5" t="inlineStr">
        <is>
          <t>Пластика нёба</t>
        </is>
      </c>
      <c r="C15" s="6">
        <f>SUM(Январь!H15+Февраль!H15+Март!H15+Апрель!H15+Май!H15+Июнь!H15+Июль!H15+Август!H15+Сентябрь!H15+'Октябрь '!H15+Ноябрь!H15+Декабрь!H15)</f>
        <v/>
      </c>
      <c r="G15" s="29" t="inlineStr">
        <is>
          <t>из них - на трахее</t>
        </is>
      </c>
      <c r="H15" s="25" t="inlineStr">
        <is>
          <t>6.1</t>
        </is>
      </c>
      <c r="I15" s="12">
        <f>SUM(C18)</f>
        <v/>
      </c>
      <c r="J15" s="28">
        <f>SUM(Январь!O15+Февраль!O15+Март!O15+Апрель!O15+Май!O15+Июнь!O15+Июль!O15+Август!O15+Сентябрь!O15+'Октябрь '!O15+Ноябрь!O15+Декабрь!O15)</f>
        <v/>
      </c>
      <c r="K15" s="12" t="n"/>
      <c r="L15" s="28">
        <f>SUM(Январь!Q15+Февраль!Q15+Март!Q15+Апрель!Q15+Май!Q15+Июнь!Q15+Июль!Q15+Август!Q15+Сентябрь!Q15+'Октябрь '!Q15+Ноябрь!Q15+Декабрь!Q15)</f>
        <v/>
      </c>
      <c r="M15" s="28">
        <f>SUM(Январь!R15+Февраль!R15+Март!R15+Апрель!R15+Май!R15+Июнь!R15+Июль!R15+Август!R15+Сентябрь!R15+'Октябрь '!R15+Ноябрь!R15+Декабрь!R15)</f>
        <v/>
      </c>
      <c r="N15" s="28">
        <f>SUM(Январь!S15+Февраль!S15+Март!S15+Апрель!S15+Май!S15+Июнь!S15+Июль!S15+Август!S15+Сентябрь!S15+'Октябрь '!S15+Ноябрь!S15+Декабрь!S15)</f>
        <v/>
      </c>
    </row>
    <row r="16" ht="15.75" customHeight="1">
      <c r="B16" s="7" t="inlineStr">
        <is>
          <t>Фурункул НСП</t>
        </is>
      </c>
      <c r="C16" s="6">
        <f>SUM(Январь!H16+Февраль!H16+Март!H16+Апрель!H16+Май!H16+Июнь!H16+Июль!H16+Август!H16+Сентябрь!H16+'Октябрь '!H16+Ноябрь!H16+Декабрь!H16)</f>
        <v/>
      </c>
      <c r="G16" s="26" t="inlineStr">
        <is>
          <t>операции на коже и подкожной клетчатке</t>
        </is>
      </c>
      <c r="H16" s="27" t="inlineStr">
        <is>
          <t>17</t>
        </is>
      </c>
      <c r="I16" s="12">
        <f>SUM(C35+C33+C29)</f>
        <v/>
      </c>
      <c r="J16" s="28">
        <f>SUM(Январь!O16+Февраль!O16+Март!O16+Апрель!O16+Май!O16+Июнь!O16+Июль!O16+Август!O16+Сентябрь!O16+'Октябрь '!O16+Ноябрь!O16+Декабрь!O16)</f>
        <v/>
      </c>
      <c r="K16" s="28" t="n"/>
      <c r="L16" s="28">
        <f>SUM(Январь!Q16+Февраль!Q16+Март!Q16+Апрель!Q16+Май!Q16+Июнь!Q16+Июль!Q16+Август!Q16+Сентябрь!Q16+'Октябрь '!Q16+Ноябрь!Q16+Декабрь!Q16)</f>
        <v/>
      </c>
      <c r="M16" s="28">
        <f>SUM(Январь!R16+Февраль!R16+Март!R16+Апрель!R16+Май!R16+Июнь!R16+Июль!R16+Август!R16+Сентябрь!R16+'Октябрь '!R16+Ноябрь!R16+Декабрь!R16)</f>
        <v/>
      </c>
      <c r="N16" s="28">
        <f>SUM(Январь!S16+Февраль!S16+Март!S16+Апрель!S16+Май!S16+Июнь!S16+Июль!S16+Август!S16+Сентябрь!S16+'Октябрь '!S16+Ноябрь!S16+Декабрь!S16)</f>
        <v/>
      </c>
    </row>
    <row r="17" ht="15.75" customHeight="1">
      <c r="B17" s="7" t="inlineStr">
        <is>
          <t>Фурункул носа</t>
        </is>
      </c>
      <c r="C17" s="6">
        <f>SUM(Январь!H17+Февраль!H17+Март!H17+Апрель!H17+Май!H17+Июнь!H17+Июль!H17+Август!H17+Сентябрь!H17+'Октябрь '!H17+Ноябрь!H17+Декабрь!H17)</f>
        <v/>
      </c>
      <c r="G17" s="29" t="inlineStr">
        <is>
          <t>Операции лицам пенсионного возраста</t>
        </is>
      </c>
      <c r="H17" s="12" t="n"/>
      <c r="I17" s="30" t="n">
        <v>0</v>
      </c>
      <c r="J17" s="28">
        <f>SUM(Январь!O17+Февраль!O17+Март!O17+Апрель!O17+Май!O17+Июнь!O17+Июль!O17+Август!O17+Сентябрь!O17+'Октябрь '!O17+Ноябрь!O17+Декабрь!O17)</f>
        <v/>
      </c>
      <c r="K17" s="12" t="n"/>
      <c r="L17" s="12" t="n">
        <v>0</v>
      </c>
      <c r="M17" s="28">
        <f>SUM(Январь!R17+Февраль!R17+Март!R17+Апрель!R17+Май!R17+Июнь!R17+Июль!R17+Август!R17+Сентябрь!R17+'Октябрь '!R17+Ноябрь!R17+Декабрь!R17)</f>
        <v/>
      </c>
      <c r="N17" s="28">
        <f>SUM(Январь!S17+Февраль!S17+Март!S17+Апрель!S17+Май!S17+Июнь!S17+Июль!S17+Август!S17+Сентябрь!S17+'Октябрь '!S17+Ноябрь!S17+Декабрь!S17)</f>
        <v/>
      </c>
    </row>
    <row r="18" ht="15.75" customHeight="1">
      <c r="B18" s="7" t="inlineStr">
        <is>
          <t>Трахеостомия</t>
        </is>
      </c>
      <c r="C18" s="6">
        <f>SUM(Январь!H18+Февраль!H18+Март!H18+Апрель!H18+Май!H18+Июнь!H18+Июль!H18+Август!H18+Сентябрь!H18+'Октябрь '!H18+Ноябрь!H18+Декабрь!H18)</f>
        <v/>
      </c>
      <c r="G18" s="26" t="inlineStr">
        <is>
          <t>Всего операций</t>
        </is>
      </c>
      <c r="H18" s="12" t="n"/>
      <c r="I18" s="30">
        <f>I16+I14+I11</f>
        <v/>
      </c>
      <c r="J18" s="28">
        <f>SUM(J11+J14+J16)</f>
        <v/>
      </c>
      <c r="K18" s="12" t="n"/>
      <c r="L18" s="28">
        <f>SUM(L11+L14+L16)</f>
        <v/>
      </c>
      <c r="M18" s="28">
        <f>SUM(M11+M14+M16)</f>
        <v/>
      </c>
      <c r="N18" s="28">
        <f>SUM(N11+N14+N16)</f>
        <v/>
      </c>
    </row>
    <row r="19" ht="37.5" customHeight="1">
      <c r="B19" s="7" t="inlineStr">
        <is>
          <t>Репозиция костей носа</t>
        </is>
      </c>
      <c r="C19" s="6">
        <f>SUM(Январь!H19+Февраль!H19+Март!H19+Апрель!H19+Май!H19+Июнь!H19+Июль!H19+Август!H19+Сентябрь!H19+'Октябрь '!H19+Ноябрь!H19+Декабрь!H19)</f>
        <v/>
      </c>
    </row>
    <row r="20" ht="15.75" customHeight="1">
      <c r="B20" s="7" t="inlineStr">
        <is>
          <t>Флегмона шеи</t>
        </is>
      </c>
      <c r="C20" s="6">
        <f>SUM(Январь!H20+Февраль!H20+Март!H20+Апрель!H20+Май!H20+Июнь!H20+Июль!H20+Август!H20+Сентябрь!H20+'Октябрь '!H20+Ноябрь!H20+Декабрь!H20)</f>
        <v/>
      </c>
      <c r="G20" s="12" t="inlineStr">
        <is>
          <t>Эндоскопических всего</t>
        </is>
      </c>
      <c r="H20" s="12" t="n"/>
      <c r="I20" s="12">
        <f>C4+C7+C10+C11+C12+C13+C28+C37</f>
        <v/>
      </c>
    </row>
    <row r="21" ht="15.75" customHeight="1">
      <c r="B21" s="7" t="inlineStr">
        <is>
          <t>Остановка кров</t>
        </is>
      </c>
      <c r="C21" s="6">
        <f>SUM(Январь!H21+Февраль!H21+Март!H21+Апрель!H21+Май!H21+Июнь!H21+Июль!H21+Август!H21+Сентябрь!H21+'Октябрь '!H21+Ноябрь!H21+Декабрь!H21)</f>
        <v/>
      </c>
    </row>
    <row r="22" ht="23.25" customHeight="1">
      <c r="B22" s="5" t="inlineStr">
        <is>
          <t>Рубцы мочки уха</t>
        </is>
      </c>
      <c r="C22" s="6">
        <f>SUM(Январь!H22+Февраль!H22+Март!H22+Апрель!H22+Май!H22+Июнь!H22+Июль!H22+Август!H22+Сентябрь!H22+'Октябрь '!H22+Ноябрь!H22+Декабрь!H22)</f>
        <v/>
      </c>
    </row>
    <row r="23" ht="15.75" customHeight="1">
      <c r="B23" s="5" t="inlineStr">
        <is>
          <t>Синехии нос</t>
        </is>
      </c>
      <c r="C23" s="6">
        <f>SUM(Январь!H23+Февраль!H23+Март!H23+Апрель!H23+Май!H23+Июнь!H23+Июль!H23+Август!H23+Сентябрь!H23+'Октябрь '!H23+Ноябрь!H23+Декабрь!H23)</f>
        <v/>
      </c>
    </row>
    <row r="24" ht="19.5" customHeight="1">
      <c r="B24" s="7" t="inlineStr">
        <is>
          <t>Антромастоидотомия</t>
        </is>
      </c>
      <c r="C24" s="6">
        <f>SUM(Январь!H24+Февраль!H24+Март!H24+Апрель!H24+Май!H24+Июнь!H24+Июль!H24+Август!H24+Сентябрь!H24+'Октябрь '!H24+Ноябрь!H24+Декабрь!H24)</f>
        <v/>
      </c>
    </row>
    <row r="25" ht="37.5" customHeight="1">
      <c r="B25" s="5" t="inlineStr">
        <is>
          <t>Удаление новообр носа</t>
        </is>
      </c>
      <c r="C25" s="6">
        <f>SUM(Январь!H25+Февраль!H25+Март!H25+Апрель!H25+Май!H25+Июнь!H25+Июль!H25+Август!H25+Сентябрь!H25+'Октябрь '!H25+Ноябрь!H25+Декабрь!H25)</f>
        <v/>
      </c>
    </row>
    <row r="26" ht="31.5" customHeight="1">
      <c r="B26" s="5" t="inlineStr">
        <is>
          <t>Удаление новообр уха</t>
        </is>
      </c>
      <c r="C26" s="6">
        <f>SUM(Январь!H26+Февраль!H26+Март!H26+Апрель!H26+Май!H26+Июнь!H26+Июль!H26+Август!H26+Сентябрь!H26+'Октябрь '!H26+Ноябрь!H26+Декабрь!H26)</f>
        <v/>
      </c>
    </row>
    <row r="27" ht="30.75" customHeight="1">
      <c r="B27" s="5" t="inlineStr">
        <is>
          <t>Удаление новообр глотки</t>
        </is>
      </c>
      <c r="C27" s="6">
        <f>SUM(Январь!H27+Февраль!H27+Март!H27+Апрель!H27+Май!H27+Июнь!H27+Июль!H27+Август!H27+Сентябрь!H27+'Октябрь '!H27+Ноябрь!H27+Декабрь!H27)</f>
        <v/>
      </c>
    </row>
    <row r="28" ht="37.5" customHeight="1">
      <c r="B28" s="5" t="inlineStr">
        <is>
          <t>Удаление новообр гортани</t>
        </is>
      </c>
      <c r="C28" s="6">
        <f>SUM(Январь!H28+Февраль!H28+Март!H28+Апрель!H28+Май!H28+Июнь!H28+Июль!H28+Август!H28+Сентябрь!H28+'Октябрь '!H28+Ноябрь!H28+Декабрь!H28)</f>
        <v/>
      </c>
    </row>
    <row r="29" ht="15.75" customHeight="1">
      <c r="B29" s="7" t="inlineStr">
        <is>
          <t>ПХО</t>
        </is>
      </c>
      <c r="C29" s="6">
        <f>SUM(Январь!H29+Февраль!H29+Март!H29+Апрель!H29+Май!H29+Июнь!H29+Июль!H29+Август!H29+Сентябрь!H29+'Октябрь '!H29+Ноябрь!H29+Декабрь!H29)</f>
        <v/>
      </c>
    </row>
    <row r="30" ht="29.25" customHeight="1">
      <c r="B30" s="7" t="inlineStr">
        <is>
          <t>Удаление инородного тела</t>
        </is>
      </c>
      <c r="C30" s="6">
        <f>SUM(Январь!H30+Февраль!H30+Март!H30+Апрель!H30+Май!H30+Июнь!H30+Июль!H30+Август!H30+Сентябрь!H30+'Октябрь '!H30+Ноябрь!H30+Декабрь!H30)</f>
        <v/>
      </c>
    </row>
    <row r="31" ht="15.75" customHeight="1">
      <c r="B31" s="7" t="inlineStr">
        <is>
          <t>Фронтотомия</t>
        </is>
      </c>
      <c r="C31" s="6">
        <f>SUM(Январь!H31+Февраль!H31+Март!H31+Апрель!H31+Май!H31+Июнь!H31+Июль!H31+Август!H31+Сентябрь!H31+'Октябрь '!H31+Ноябрь!H31+Декабрь!H31)</f>
        <v/>
      </c>
    </row>
    <row r="32" ht="42" customHeight="1">
      <c r="B32" s="7" t="inlineStr">
        <is>
          <t>Субперостальный абсцесс за ухом</t>
        </is>
      </c>
      <c r="C32" s="6">
        <f>SUM(Январь!H32+Февраль!H32+Март!H32+Апрель!H32+Май!H32+Июнь!H32+Июль!H32+Август!H32+Сентябрь!H32+'Октябрь '!H32+Ноябрь!H32+Декабрь!H32)</f>
        <v/>
      </c>
    </row>
    <row r="33" ht="34.5" customHeight="1">
      <c r="B33" s="5" t="inlineStr">
        <is>
          <t>Пластика местными тканями</t>
        </is>
      </c>
      <c r="C33" s="6">
        <f>SUM(Январь!H33+Февраль!H33+Март!H33+Апрель!H33+Май!H33+Июнь!H33+Июль!H33+Август!H33+Сентябрь!H33+'Октябрь '!H33+Ноябрь!H33+Декабрь!H33)</f>
        <v/>
      </c>
    </row>
    <row r="34" ht="27.75" customHeight="1">
      <c r="B34" s="7" t="inlineStr">
        <is>
          <t>Ревизия п/о полости</t>
        </is>
      </c>
      <c r="C34" s="6">
        <f>SUM(Январь!H34+Февраль!H34+Март!H34+Апрель!H34+Май!H34+Июнь!H34+Июль!H34+Август!H34+Сентябрь!H34+'Октябрь '!H34+Ноябрь!H34+Декабрь!H34)</f>
        <v/>
      </c>
    </row>
    <row r="35" ht="39.75" customHeight="1">
      <c r="B35" s="5" t="inlineStr">
        <is>
          <t>Наложение вторичных швов</t>
        </is>
      </c>
      <c r="C35" s="6">
        <f>SUM(Январь!H35+Февраль!H35+Март!H35+Апрель!H35+Май!H35+Июнь!H35+Июль!H35+Август!H35+Сентябрь!H35+'Октябрь '!H35+Ноябрь!H35+Декабрь!H35)</f>
        <v/>
      </c>
    </row>
    <row r="36" ht="15.75" customHeight="1">
      <c r="B36" s="7" t="inlineStr">
        <is>
          <t>Заглоточный абсцесс</t>
        </is>
      </c>
      <c r="C36" s="8">
        <f>SUM(Январь!H36+Февраль!H36+Март!H36+Апрель!H36+Май!H36+Июнь!H36+Июль!H36+Август!H36+Сентябрь!H36+'Октябрь '!H36+Ноябрь!H36+Декабрь!H36)</f>
        <v/>
      </c>
    </row>
    <row r="37" ht="15.75" customHeight="1">
      <c r="B37" s="9" t="inlineStr">
        <is>
          <t xml:space="preserve">Биопсия гортани </t>
        </is>
      </c>
      <c r="C37" s="6">
        <f>SUM(Январь!H37+Февраль!H37+Март!H37+Апрель!H37+Май!H37+Июнь!H37+Июль!H37+Август!H37+Сентябрь!H37+'Октябрь '!H37+Ноябрь!H37+Декабрь!H37)</f>
        <v/>
      </c>
    </row>
    <row r="40">
      <c r="B40" s="10" t="inlineStr">
        <is>
          <t>Всего операций</t>
        </is>
      </c>
      <c r="C40" s="6">
        <f>SUM(Январь!H40+Февраль!H40+Март!H40+Апрель!H40+Май!H40+Июнь!H40+Июль!H40+Август!H40+Сентябрь!H40+'Октябрь '!H40+Ноябрь!H40+Декабрь!H40)</f>
        <v/>
      </c>
    </row>
    <row r="41">
      <c r="B41" s="10" t="inlineStr">
        <is>
          <t>Экстренно операций</t>
        </is>
      </c>
      <c r="C41" s="6">
        <f>SUM(Январь!H41+Февраль!H41+Март!H41+Апрель!H41+Май!H41+Июнь!H41+Июль!H41+Август!H41+Сентябрь!H41+'Октябрь '!H41+Ноябрь!H41+Декабрь!H41)</f>
        <v/>
      </c>
    </row>
    <row r="42">
      <c r="B42" s="10" t="inlineStr">
        <is>
          <t>План операций</t>
        </is>
      </c>
      <c r="C42" s="6">
        <f>SUM(Январь!H42+Февраль!H42+Март!H42+Апрель!H42+Май!H42+Июнь!H42+Июль!H42+Август!H42+Сентябрь!H42+'Октябрь '!H42+Ноябрь!H42+Декабрь!H42)</f>
        <v/>
      </c>
    </row>
    <row r="43">
      <c r="B43" s="11" t="inlineStr">
        <is>
          <t>Дети всего</t>
        </is>
      </c>
      <c r="C43" s="6">
        <f>SUM(Январь!H43+Февраль!H43+Март!H43+Апрель!H43+Май!H43+Июнь!H43+Июль!H43+Август!H43+Сентябрь!H43+'Октябрь '!H43+Ноябрь!H43+Декабрь!H43)</f>
        <v/>
      </c>
    </row>
    <row r="44">
      <c r="B44" s="10" t="inlineStr">
        <is>
          <t xml:space="preserve">Взрослые </t>
        </is>
      </c>
      <c r="C44" s="6">
        <f>SUM(Январь!H44+Февраль!H44+Март!H44+Апрель!H44+Май!H44+Июнь!H44+Июль!H44+Август!H44+Сентябрь!H44+'Октябрь '!H44+Ноябрь!H44+Декабрь!H44)</f>
        <v/>
      </c>
    </row>
    <row r="45" ht="51" customHeight="1">
      <c r="B45" s="12" t="inlineStr">
        <is>
          <t>Человек</t>
        </is>
      </c>
      <c r="C45" s="6">
        <f>SUM(Январь!H45+Февраль!H45+Март!H45+Апрель!H45+Май!H45+Июнь!H45+Июль!H45+Август!H45+Сентябрь!H45+'Октябрь '!H45+Ноябрь!H45+Декабрь!H45)</f>
        <v/>
      </c>
    </row>
    <row r="46">
      <c r="C46" s="12" t="n"/>
    </row>
    <row r="47">
      <c r="B47" s="13" t="inlineStr">
        <is>
          <t xml:space="preserve">% Плановых </t>
        </is>
      </c>
      <c r="C47" s="14">
        <f>C42*100/C40</f>
        <v/>
      </c>
    </row>
    <row r="48">
      <c r="B48" s="12" t="inlineStr">
        <is>
          <t>% Экстренных</t>
        </is>
      </c>
      <c r="C48" s="14">
        <f>C41*100/C40</f>
        <v/>
      </c>
    </row>
  </sheetData>
  <mergeCells count="17">
    <mergeCell ref="N6:S6"/>
    <mergeCell ref="A1:AC1"/>
    <mergeCell ref="G7:G9"/>
    <mergeCell ref="R7:S7"/>
    <mergeCell ref="P7:Q7"/>
    <mergeCell ref="N7:O7"/>
    <mergeCell ref="H7:H9"/>
    <mergeCell ref="I8:I9"/>
    <mergeCell ref="N8:N9"/>
    <mergeCell ref="M7:M9"/>
    <mergeCell ref="Q8:Q9"/>
    <mergeCell ref="O8:O9"/>
    <mergeCell ref="P8:P9"/>
    <mergeCell ref="R8:R9"/>
    <mergeCell ref="J8:L8"/>
    <mergeCell ref="S8:S9"/>
    <mergeCell ref="I7:L7"/>
  </mergeCells>
  <pageMargins left="0.7" right="0.7" top="0.75" bottom="0.75" header="0.3" footer="0.3"/>
  <pageSetup orientation="portrait" paperSize="9" horizontalDpi="600" vertic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48"/>
  <sheetViews>
    <sheetView topLeftCell="A10" zoomScale="80" zoomScaleNormal="80" workbookViewId="0">
      <selection activeCell="D4" sqref="D4"/>
    </sheetView>
  </sheetViews>
  <sheetFormatPr baseColWidth="8" defaultColWidth="9" defaultRowHeight="16.8"/>
  <cols>
    <col width="47.140625" customWidth="1" min="2" max="2"/>
    <col width="9.140625" customWidth="1" style="1" min="3" max="3"/>
    <col width="11.4296875" customWidth="1" min="7" max="7"/>
    <col width="8.859375" customWidth="1" min="9" max="11"/>
    <col width="10.859375" customWidth="1" min="12" max="12"/>
  </cols>
  <sheetData>
    <row r="1" ht="21" customHeight="1">
      <c r="A1" s="2" t="inlineStr">
        <is>
          <t>Оториноларингологическое отделение за ОБЩАЯ 2025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4" t="n"/>
    </row>
    <row r="3" ht="15.75" customHeight="1">
      <c r="C3" s="1" t="inlineStr">
        <is>
          <t>ИТОГ</t>
        </is>
      </c>
      <c r="D3" t="inlineStr">
        <is>
          <t>Январь</t>
        </is>
      </c>
      <c r="E3" t="inlineStr">
        <is>
          <t>Февраль</t>
        </is>
      </c>
      <c r="F3" t="inlineStr">
        <is>
          <t xml:space="preserve">Март </t>
        </is>
      </c>
      <c r="G3" t="inlineStr">
        <is>
          <t>Апрель</t>
        </is>
      </c>
      <c r="H3" t="inlineStr">
        <is>
          <t xml:space="preserve">Май </t>
        </is>
      </c>
      <c r="I3" t="inlineStr">
        <is>
          <t>Июнь</t>
        </is>
      </c>
      <c r="J3" t="inlineStr">
        <is>
          <t>Июль</t>
        </is>
      </c>
      <c r="K3" t="inlineStr">
        <is>
          <t>Август</t>
        </is>
      </c>
      <c r="L3" t="inlineStr">
        <is>
          <t>Сентябрь</t>
        </is>
      </c>
      <c r="M3" t="inlineStr">
        <is>
          <t>Октябрь</t>
        </is>
      </c>
      <c r="N3" t="inlineStr">
        <is>
          <t>Ноябрь</t>
        </is>
      </c>
      <c r="O3" t="inlineStr">
        <is>
          <t>Декабрь</t>
        </is>
      </c>
    </row>
    <row r="4" ht="15.75" customHeight="1">
      <c r="B4" s="5" t="inlineStr">
        <is>
          <t>Аденотомия</t>
        </is>
      </c>
      <c r="C4" s="6">
        <f>SUM(Январь!H4+Февраль!H4+Март!H4+Апрель!H4+Май!H4+Июнь!H4+Июль!H4+Август!H4+Сентябрь!H4+'Октябрь '!H4+Ноябрь!H4+Декабрь!H4)</f>
        <v/>
      </c>
      <c r="D4">
        <f>Январь!H4</f>
        <v/>
      </c>
      <c r="E4">
        <f>Февраль!H4</f>
        <v/>
      </c>
      <c r="F4">
        <f>Март!H4</f>
        <v/>
      </c>
      <c r="G4">
        <f>Апрель!H4</f>
        <v/>
      </c>
      <c r="H4">
        <f>Май!H4</f>
        <v/>
      </c>
      <c r="I4">
        <f>Июнь!H4</f>
        <v/>
      </c>
      <c r="J4">
        <f>Июль!H4</f>
        <v/>
      </c>
      <c r="K4">
        <f>Август!H4</f>
        <v/>
      </c>
      <c r="L4">
        <f>Сентябрь!H4</f>
        <v/>
      </c>
      <c r="M4">
        <f>'Октябрь '!H4</f>
        <v/>
      </c>
      <c r="N4">
        <f>Ноябрь!H4</f>
        <v/>
      </c>
      <c r="O4">
        <f>Декабрь!H4</f>
        <v/>
      </c>
    </row>
    <row r="5" ht="15.75" customHeight="1">
      <c r="B5" s="5" t="inlineStr">
        <is>
          <t>Тонзиллотомия</t>
        </is>
      </c>
      <c r="C5" s="6">
        <f>SUM(Январь!H5+Февраль!H5+Март!H5+Апрель!H5+Май!H5+Июнь!H5+Июль!H5+Август!H5+Сентябрь!H5+'Октябрь '!H5+Ноябрь!H5+Декабрь!H5)</f>
        <v/>
      </c>
      <c r="D5">
        <f>Январь!H5</f>
        <v/>
      </c>
      <c r="E5">
        <f>Февраль!H5</f>
        <v/>
      </c>
      <c r="F5">
        <f>Март!H5</f>
        <v/>
      </c>
      <c r="G5">
        <f>Апрель!H5</f>
        <v/>
      </c>
      <c r="H5">
        <f>Май!H5</f>
        <v/>
      </c>
      <c r="I5">
        <f>Июнь!H5</f>
        <v/>
      </c>
      <c r="J5">
        <f>Июль!H5</f>
        <v/>
      </c>
      <c r="K5">
        <f>Август!H5</f>
        <v/>
      </c>
      <c r="L5">
        <f>Сентябрь!H5</f>
        <v/>
      </c>
      <c r="M5">
        <f>'Октябрь '!H5</f>
        <v/>
      </c>
      <c r="N5">
        <f>Ноябрь!H5</f>
        <v/>
      </c>
      <c r="O5">
        <f>Декабрь!H5</f>
        <v/>
      </c>
    </row>
    <row r="6" ht="37.5" customHeight="1">
      <c r="B6" s="5" t="inlineStr">
        <is>
          <t>Миринготомия план</t>
        </is>
      </c>
      <c r="C6" s="6">
        <f>SUM(Январь!H6+Февраль!H6+Март!H6+Апрель!H6+Май!H6+Июнь!H6+Июль!H6+Август!H6+Сентябрь!H6+'Октябрь '!H6+Ноябрь!H6+Декабрь!H6)</f>
        <v/>
      </c>
      <c r="D6">
        <f>Январь!H6</f>
        <v/>
      </c>
      <c r="E6">
        <f>Февраль!H6</f>
        <v/>
      </c>
      <c r="F6">
        <f>Март!H6</f>
        <v/>
      </c>
      <c r="G6">
        <f>Апрель!H6</f>
        <v/>
      </c>
      <c r="H6">
        <f>Май!H6</f>
        <v/>
      </c>
      <c r="I6">
        <f>Июнь!H6</f>
        <v/>
      </c>
      <c r="J6">
        <f>Июль!H6</f>
        <v/>
      </c>
      <c r="K6">
        <f>Август!H6</f>
        <v/>
      </c>
      <c r="L6">
        <f>Сентябрь!H6</f>
        <v/>
      </c>
      <c r="M6">
        <f>'Октябрь '!H6</f>
        <v/>
      </c>
      <c r="N6">
        <f>Ноябрь!H6</f>
        <v/>
      </c>
      <c r="O6">
        <f>Декабрь!H6</f>
        <v/>
      </c>
    </row>
    <row r="7" ht="38.25" customHeight="1">
      <c r="B7" s="5" t="inlineStr">
        <is>
          <t>Пластика раковин</t>
        </is>
      </c>
      <c r="C7" s="6">
        <f>SUM(Январь!H7+Февраль!H7+Март!H7+Апрель!H7+Май!H7+Июнь!H7+Июль!H7+Август!H7+Сентябрь!H7+'Октябрь '!H7+Ноябрь!H7+Декабрь!H7)</f>
        <v/>
      </c>
      <c r="D7">
        <f>Январь!H7</f>
        <v/>
      </c>
      <c r="E7">
        <f>Февраль!H7</f>
        <v/>
      </c>
      <c r="F7">
        <f>Март!H7</f>
        <v/>
      </c>
      <c r="G7">
        <f>Апрель!H7</f>
        <v/>
      </c>
      <c r="H7">
        <f>Май!H7</f>
        <v/>
      </c>
      <c r="I7">
        <f>Июнь!H7</f>
        <v/>
      </c>
      <c r="J7">
        <f>Июль!H7</f>
        <v/>
      </c>
      <c r="K7">
        <f>Август!H7</f>
        <v/>
      </c>
      <c r="L7">
        <f>Сентябрь!H7</f>
        <v/>
      </c>
      <c r="M7">
        <f>'Октябрь '!H7</f>
        <v/>
      </c>
      <c r="N7">
        <f>Ноябрь!H7</f>
        <v/>
      </c>
      <c r="O7">
        <f>Декабрь!H7</f>
        <v/>
      </c>
    </row>
    <row r="8" ht="33" customHeight="1">
      <c r="B8" s="7" t="inlineStr">
        <is>
          <t>ПТА</t>
        </is>
      </c>
      <c r="C8" s="6">
        <f>SUM(Январь!H8+Февраль!H8+Март!H8+Апрель!H8+Май!H8+Июнь!H8+Июль!H8+Август!H8+Сентябрь!H8+'Октябрь '!H8+Ноябрь!H8+Декабрь!H8)</f>
        <v/>
      </c>
      <c r="D8">
        <f>Январь!H8</f>
        <v/>
      </c>
      <c r="E8">
        <f>Февраль!H8</f>
        <v/>
      </c>
      <c r="F8">
        <f>Март!H8</f>
        <v/>
      </c>
      <c r="G8">
        <f>Апрель!H8</f>
        <v/>
      </c>
      <c r="H8">
        <f>Май!H8</f>
        <v/>
      </c>
      <c r="I8">
        <f>Июнь!H8</f>
        <v/>
      </c>
      <c r="J8">
        <f>Июль!H8</f>
        <v/>
      </c>
      <c r="K8">
        <f>Август!H8</f>
        <v/>
      </c>
      <c r="L8">
        <f>Сентябрь!H8</f>
        <v/>
      </c>
      <c r="M8">
        <f>'Октябрь '!H8</f>
        <v/>
      </c>
      <c r="N8">
        <f>Ноябрь!H8</f>
        <v/>
      </c>
      <c r="O8">
        <f>Декабрь!H8</f>
        <v/>
      </c>
    </row>
    <row r="9" ht="51.75" customHeight="1">
      <c r="B9" s="7" t="inlineStr">
        <is>
          <t>Миринготомия экстр</t>
        </is>
      </c>
      <c r="C9" s="6">
        <f>SUM(Январь!H9+Февраль!H9+Март!H9+Апрель!H9+Май!H9+Июнь!H9+Июль!H9+Август!H9+Сентябрь!H9+'Октябрь '!H9+Ноябрь!H9+Декабрь!H9)</f>
        <v/>
      </c>
      <c r="D9">
        <f>Январь!H9</f>
        <v/>
      </c>
      <c r="E9">
        <f>Февраль!H9</f>
        <v/>
      </c>
      <c r="F9">
        <f>Март!H9</f>
        <v/>
      </c>
      <c r="G9">
        <f>Апрель!H9</f>
        <v/>
      </c>
      <c r="H9">
        <f>Май!H9</f>
        <v/>
      </c>
      <c r="I9">
        <f>Июнь!H9</f>
        <v/>
      </c>
      <c r="J9">
        <f>Июль!H9</f>
        <v/>
      </c>
      <c r="K9">
        <f>Август!H9</f>
        <v/>
      </c>
      <c r="L9">
        <f>Сентябрь!H9</f>
        <v/>
      </c>
      <c r="M9">
        <f>'Октябрь '!H9</f>
        <v/>
      </c>
      <c r="N9">
        <f>Ноябрь!H9</f>
        <v/>
      </c>
      <c r="O9">
        <f>Декабрь!H9</f>
        <v/>
      </c>
    </row>
    <row r="10" ht="15.75" customHeight="1">
      <c r="B10" s="5" t="inlineStr">
        <is>
          <t>Полипотомия</t>
        </is>
      </c>
      <c r="C10" s="6">
        <f>SUM(Январь!H10+Февраль!H10+Март!H10+Апрель!H10+Май!H10+Июнь!H10+Июль!H10+Август!H10+Сентябрь!H10+'Октябрь '!H10+Ноябрь!H10+Декабрь!H10)</f>
        <v/>
      </c>
      <c r="D10">
        <f>Январь!H10</f>
        <v/>
      </c>
      <c r="E10">
        <f>Февраль!H10</f>
        <v/>
      </c>
      <c r="F10">
        <f>Март!H10</f>
        <v/>
      </c>
      <c r="G10">
        <f>Апрель!H10</f>
        <v/>
      </c>
      <c r="H10">
        <f>Май!H10</f>
        <v/>
      </c>
      <c r="I10">
        <f>Июнь!H10</f>
        <v/>
      </c>
      <c r="J10">
        <f>Июль!H10</f>
        <v/>
      </c>
      <c r="K10">
        <f>Август!H10</f>
        <v/>
      </c>
      <c r="L10">
        <f>Сентябрь!H10</f>
        <v/>
      </c>
      <c r="M10">
        <f>'Октябрь '!H10</f>
        <v/>
      </c>
      <c r="N10">
        <f>Ноябрь!H10</f>
        <v/>
      </c>
      <c r="O10">
        <f>Декабрь!H10</f>
        <v/>
      </c>
    </row>
    <row r="11" ht="15.75" customHeight="1">
      <c r="B11" s="5" t="inlineStr">
        <is>
          <t>Септопластика</t>
        </is>
      </c>
      <c r="C11" s="6">
        <f>SUM(Январь!H11+Февраль!H11+Март!H11+Апрель!H11+Май!H11+Июнь!H11+Июль!H11+Август!H11+Сентябрь!H11+'Октябрь '!H11+Ноябрь!H11+Декабрь!H11)</f>
        <v/>
      </c>
      <c r="D11">
        <f>Январь!H11</f>
        <v/>
      </c>
      <c r="E11">
        <f>Февраль!H11</f>
        <v/>
      </c>
      <c r="F11">
        <f>Март!H11</f>
        <v/>
      </c>
      <c r="G11">
        <f>Апрель!H11</f>
        <v/>
      </c>
      <c r="H11">
        <f>Май!H11</f>
        <v/>
      </c>
      <c r="I11">
        <f>Июнь!H11</f>
        <v/>
      </c>
      <c r="J11">
        <f>Июль!H11</f>
        <v/>
      </c>
      <c r="K11">
        <f>Август!H11</f>
        <v/>
      </c>
      <c r="L11">
        <f>Сентябрь!H11</f>
        <v/>
      </c>
      <c r="M11">
        <f>'Октябрь '!H11</f>
        <v/>
      </c>
      <c r="N11">
        <f>Ноябрь!H11</f>
        <v/>
      </c>
      <c r="O11">
        <f>Декабрь!H11</f>
        <v/>
      </c>
    </row>
    <row r="12" ht="15.75" customHeight="1">
      <c r="B12" s="5" t="inlineStr">
        <is>
          <t>Гайморотомия</t>
        </is>
      </c>
      <c r="C12" s="6">
        <f>SUM(Январь!H12+Февраль!H12+Март!H12+Апрель!H12+Май!H12+Июнь!H12+Июль!H12+Август!H12+Сентябрь!H12+'Октябрь '!H12+Ноябрь!H12+Декабрь!H12)</f>
        <v/>
      </c>
      <c r="D12">
        <f>Январь!H12</f>
        <v/>
      </c>
      <c r="E12">
        <f>Февраль!H12</f>
        <v/>
      </c>
      <c r="F12">
        <f>Март!H12</f>
        <v/>
      </c>
      <c r="G12">
        <f>Апрель!H12</f>
        <v/>
      </c>
      <c r="H12">
        <f>Май!H12</f>
        <v/>
      </c>
      <c r="I12">
        <f>Июнь!H12</f>
        <v/>
      </c>
      <c r="J12">
        <f>Июль!H12</f>
        <v/>
      </c>
      <c r="K12">
        <f>Август!H12</f>
        <v/>
      </c>
      <c r="L12">
        <f>Сентябрь!H12</f>
        <v/>
      </c>
      <c r="M12">
        <f>'Октябрь '!H12</f>
        <v/>
      </c>
      <c r="N12">
        <f>Ноябрь!H12</f>
        <v/>
      </c>
      <c r="O12">
        <f>Декабрь!H12</f>
        <v/>
      </c>
    </row>
    <row r="13" ht="15.75" customHeight="1">
      <c r="B13" s="5" t="inlineStr">
        <is>
          <t>Тозиллэктомия</t>
        </is>
      </c>
      <c r="C13" s="6">
        <f>SUM(Январь!H13+Февраль!H13+Март!H13+Апрель!H13+Май!H13+Июнь!H13+Июль!H13+Август!H13+Сентябрь!H13+'Октябрь '!H13+Ноябрь!H13+Декабрь!H13)</f>
        <v/>
      </c>
      <c r="D13">
        <f>Январь!H13</f>
        <v/>
      </c>
      <c r="E13">
        <f>Февраль!H13</f>
        <v/>
      </c>
      <c r="F13">
        <f>Март!H13</f>
        <v/>
      </c>
      <c r="G13">
        <f>Апрель!H13</f>
        <v/>
      </c>
      <c r="H13">
        <f>Май!H13</f>
        <v/>
      </c>
      <c r="I13">
        <f>Июнь!H13</f>
        <v/>
      </c>
      <c r="J13">
        <f>Июль!H13</f>
        <v/>
      </c>
      <c r="K13">
        <f>Август!H13</f>
        <v/>
      </c>
      <c r="L13">
        <f>Сентябрь!H13</f>
        <v/>
      </c>
      <c r="M13">
        <f>'Октябрь '!H13</f>
        <v/>
      </c>
      <c r="N13">
        <f>Ноябрь!H13</f>
        <v/>
      </c>
      <c r="O13">
        <f>Декабрь!H13</f>
        <v/>
      </c>
    </row>
    <row r="14" ht="15.75" customHeight="1">
      <c r="B14" s="5" t="inlineStr">
        <is>
          <t>Увулопластика</t>
        </is>
      </c>
      <c r="C14" s="6">
        <f>SUM(Январь!H14+Февраль!H14+Март!H14+Апрель!H14+Май!H14+Июнь!H14+Июль!H14+Август!H14+Сентябрь!H14+'Октябрь '!H14+Ноябрь!H14+Декабрь!H14)</f>
        <v/>
      </c>
      <c r="D14">
        <f>Январь!H14</f>
        <v/>
      </c>
      <c r="E14">
        <f>Февраль!H14</f>
        <v/>
      </c>
      <c r="F14">
        <f>Март!H14</f>
        <v/>
      </c>
      <c r="G14">
        <f>Апрель!H14</f>
        <v/>
      </c>
      <c r="H14">
        <f>Май!H14</f>
        <v/>
      </c>
      <c r="I14">
        <f>Июнь!H14</f>
        <v/>
      </c>
      <c r="J14">
        <f>Июль!H14</f>
        <v/>
      </c>
      <c r="K14">
        <f>Август!H14</f>
        <v/>
      </c>
      <c r="L14">
        <f>Сентябрь!H14</f>
        <v/>
      </c>
      <c r="M14">
        <f>'Октябрь '!H14</f>
        <v/>
      </c>
      <c r="N14">
        <f>Ноябрь!H14</f>
        <v/>
      </c>
      <c r="O14">
        <f>Декабрь!H14</f>
        <v/>
      </c>
    </row>
    <row r="15" ht="15.75" customHeight="1">
      <c r="B15" s="5" t="inlineStr">
        <is>
          <t>Пластика нёба</t>
        </is>
      </c>
      <c r="C15" s="6">
        <f>SUM(Январь!H15+Февраль!H15+Март!H15+Апрель!H15+Май!H15+Июнь!H15+Июль!H15+Август!H15+Сентябрь!H15+'Октябрь '!H15+Ноябрь!H15+Декабрь!H15)</f>
        <v/>
      </c>
      <c r="D15">
        <f>Январь!H15</f>
        <v/>
      </c>
      <c r="E15">
        <f>Февраль!H15</f>
        <v/>
      </c>
      <c r="F15">
        <f>Март!H15</f>
        <v/>
      </c>
      <c r="G15">
        <f>Апрель!H15</f>
        <v/>
      </c>
      <c r="H15">
        <f>Май!H15</f>
        <v/>
      </c>
      <c r="I15">
        <f>Июнь!H15</f>
        <v/>
      </c>
      <c r="J15">
        <f>Июль!H15</f>
        <v/>
      </c>
      <c r="K15">
        <f>Август!H15</f>
        <v/>
      </c>
      <c r="L15">
        <f>Сентябрь!H15</f>
        <v/>
      </c>
      <c r="M15">
        <f>'Октябрь '!H15</f>
        <v/>
      </c>
      <c r="N15">
        <f>Ноябрь!H15</f>
        <v/>
      </c>
      <c r="O15">
        <f>Декабрь!H15</f>
        <v/>
      </c>
    </row>
    <row r="16" ht="15.75" customHeight="1">
      <c r="B16" s="7" t="inlineStr">
        <is>
          <t>Фурункул НСП</t>
        </is>
      </c>
      <c r="C16" s="6">
        <f>SUM(Январь!H16+Февраль!H16+Март!H16+Апрель!H16+Май!H16+Июнь!H16+Июль!H16+Август!H16+Сентябрь!H16+'Октябрь '!H16+Ноябрь!H16+Декабрь!H16)</f>
        <v/>
      </c>
      <c r="D16">
        <f>Январь!H16</f>
        <v/>
      </c>
      <c r="E16">
        <f>Февраль!H16</f>
        <v/>
      </c>
      <c r="F16">
        <f>Март!H16</f>
        <v/>
      </c>
      <c r="G16">
        <f>Апрель!H16</f>
        <v/>
      </c>
      <c r="H16">
        <f>Май!H16</f>
        <v/>
      </c>
      <c r="I16">
        <f>Июнь!H16</f>
        <v/>
      </c>
      <c r="J16">
        <f>Июль!H16</f>
        <v/>
      </c>
      <c r="K16">
        <f>Август!H16</f>
        <v/>
      </c>
      <c r="L16">
        <f>Сентябрь!H16</f>
        <v/>
      </c>
      <c r="M16">
        <f>'Октябрь '!H16</f>
        <v/>
      </c>
      <c r="N16">
        <f>Ноябрь!H16</f>
        <v/>
      </c>
      <c r="O16">
        <f>Декабрь!H16</f>
        <v/>
      </c>
    </row>
    <row r="17" ht="15.75" customHeight="1">
      <c r="B17" s="7" t="inlineStr">
        <is>
          <t>Фурункул носа</t>
        </is>
      </c>
      <c r="C17" s="6">
        <f>SUM(Январь!H17+Февраль!H17+Март!H17+Апрель!H17+Май!H17+Июнь!H17+Июль!H17+Август!H17+Сентябрь!H17+'Октябрь '!H17+Ноябрь!H17+Декабрь!H17)</f>
        <v/>
      </c>
      <c r="D17">
        <f>Январь!H17</f>
        <v/>
      </c>
      <c r="E17">
        <f>Февраль!H17</f>
        <v/>
      </c>
      <c r="F17">
        <f>Март!H17</f>
        <v/>
      </c>
      <c r="G17">
        <f>Апрель!H17</f>
        <v/>
      </c>
      <c r="H17">
        <f>Май!H17</f>
        <v/>
      </c>
      <c r="I17">
        <f>Июнь!H17</f>
        <v/>
      </c>
      <c r="J17">
        <f>Июль!H17</f>
        <v/>
      </c>
      <c r="K17">
        <f>Август!H17</f>
        <v/>
      </c>
      <c r="L17">
        <f>Сентябрь!H17</f>
        <v/>
      </c>
      <c r="M17">
        <f>'Октябрь '!H17</f>
        <v/>
      </c>
      <c r="N17">
        <f>Ноябрь!H17</f>
        <v/>
      </c>
      <c r="O17">
        <f>Декабрь!H17</f>
        <v/>
      </c>
    </row>
    <row r="18" ht="15.75" customHeight="1">
      <c r="B18" s="7" t="inlineStr">
        <is>
          <t>Трахеостомия</t>
        </is>
      </c>
      <c r="C18" s="6">
        <f>SUM(Январь!H18+Февраль!H18+Март!H18+Апрель!H18+Май!H18+Июнь!H18+Июль!H18+Август!H18+Сентябрь!H18+'Октябрь '!H18+Ноябрь!H18+Декабрь!H18)</f>
        <v/>
      </c>
      <c r="D18">
        <f>Январь!H18</f>
        <v/>
      </c>
      <c r="E18">
        <f>Февраль!H18</f>
        <v/>
      </c>
      <c r="F18">
        <f>Март!H18</f>
        <v/>
      </c>
      <c r="G18">
        <f>Апрель!H18</f>
        <v/>
      </c>
      <c r="H18">
        <f>Май!H18</f>
        <v/>
      </c>
      <c r="I18">
        <f>Июнь!H18</f>
        <v/>
      </c>
      <c r="J18">
        <f>Июль!H18</f>
        <v/>
      </c>
      <c r="K18">
        <f>Август!H18</f>
        <v/>
      </c>
      <c r="L18">
        <f>Сентябрь!H18</f>
        <v/>
      </c>
      <c r="M18">
        <f>'Октябрь '!H18</f>
        <v/>
      </c>
      <c r="N18">
        <f>Ноябрь!H18</f>
        <v/>
      </c>
      <c r="O18">
        <f>Декабрь!H18</f>
        <v/>
      </c>
    </row>
    <row r="19" ht="37.5" customHeight="1">
      <c r="B19" s="7" t="inlineStr">
        <is>
          <t>Репозиция костей носа</t>
        </is>
      </c>
      <c r="C19" s="6">
        <f>SUM(Январь!H19+Февраль!H19+Март!H19+Апрель!H19+Май!H19+Июнь!H19+Июль!H19+Август!H19+Сентябрь!H19+'Октябрь '!H19+Ноябрь!H19+Декабрь!H19)</f>
        <v/>
      </c>
      <c r="D19">
        <f>Январь!H19</f>
        <v/>
      </c>
      <c r="E19">
        <f>Февраль!H19</f>
        <v/>
      </c>
      <c r="F19">
        <f>Март!H19</f>
        <v/>
      </c>
      <c r="G19">
        <f>Апрель!H19</f>
        <v/>
      </c>
      <c r="H19">
        <f>Май!H19</f>
        <v/>
      </c>
      <c r="I19">
        <f>Июнь!H19</f>
        <v/>
      </c>
      <c r="J19">
        <f>Июль!H19</f>
        <v/>
      </c>
      <c r="K19">
        <f>Август!H19</f>
        <v/>
      </c>
      <c r="L19">
        <f>Сентябрь!H19</f>
        <v/>
      </c>
      <c r="M19">
        <f>'Октябрь '!H19</f>
        <v/>
      </c>
      <c r="N19">
        <f>Ноябрь!H19</f>
        <v/>
      </c>
      <c r="O19">
        <f>Декабрь!H19</f>
        <v/>
      </c>
    </row>
    <row r="20" ht="15.75" customHeight="1">
      <c r="B20" s="7" t="inlineStr">
        <is>
          <t>Флегмона шеи</t>
        </is>
      </c>
      <c r="C20" s="6">
        <f>SUM(Январь!H20+Февраль!H20+Март!H20+Апрель!H20+Май!H20+Июнь!H20+Июль!H20+Август!H20+Сентябрь!H20+'Октябрь '!H20+Ноябрь!H20+Декабрь!H20)</f>
        <v/>
      </c>
      <c r="D20">
        <f>Январь!H20</f>
        <v/>
      </c>
      <c r="E20">
        <f>Февраль!H20</f>
        <v/>
      </c>
      <c r="F20">
        <f>Март!H20</f>
        <v/>
      </c>
      <c r="G20">
        <f>Апрель!H20</f>
        <v/>
      </c>
      <c r="H20">
        <f>Май!H20</f>
        <v/>
      </c>
      <c r="I20">
        <f>Июнь!H20</f>
        <v/>
      </c>
      <c r="J20">
        <f>Июль!H20</f>
        <v/>
      </c>
      <c r="K20">
        <f>Август!H20</f>
        <v/>
      </c>
      <c r="L20">
        <f>Сентябрь!H20</f>
        <v/>
      </c>
      <c r="M20">
        <f>'Октябрь '!H20</f>
        <v/>
      </c>
      <c r="N20">
        <f>Ноябрь!H20</f>
        <v/>
      </c>
      <c r="O20">
        <f>Декабрь!H20</f>
        <v/>
      </c>
    </row>
    <row r="21" ht="15.75" customHeight="1">
      <c r="B21" s="7" t="inlineStr">
        <is>
          <t>Остановка кров</t>
        </is>
      </c>
      <c r="C21" s="6">
        <f>SUM(Январь!H21+Февраль!H21+Март!H21+Апрель!H21+Май!H21+Июнь!H21+Июль!H21+Август!H21+Сентябрь!H21+'Октябрь '!H21+Ноябрь!H21+Декабрь!H21)</f>
        <v/>
      </c>
      <c r="D21">
        <f>Январь!H21</f>
        <v/>
      </c>
      <c r="E21">
        <f>Февраль!H21</f>
        <v/>
      </c>
      <c r="F21">
        <f>Март!H21</f>
        <v/>
      </c>
      <c r="G21">
        <f>Апрель!H21</f>
        <v/>
      </c>
      <c r="H21">
        <f>Май!H21</f>
        <v/>
      </c>
      <c r="I21">
        <f>Июнь!H21</f>
        <v/>
      </c>
      <c r="J21">
        <f>Июль!H21</f>
        <v/>
      </c>
      <c r="K21">
        <f>Август!H21</f>
        <v/>
      </c>
      <c r="L21">
        <f>Сентябрь!H21</f>
        <v/>
      </c>
      <c r="M21">
        <f>'Октябрь '!H21</f>
        <v/>
      </c>
      <c r="N21">
        <f>Ноябрь!H21</f>
        <v/>
      </c>
      <c r="O21">
        <f>Декабрь!H21</f>
        <v/>
      </c>
    </row>
    <row r="22" ht="23.25" customHeight="1">
      <c r="B22" s="5" t="inlineStr">
        <is>
          <t>Рубцы мочки уха</t>
        </is>
      </c>
      <c r="C22" s="6">
        <f>SUM(Январь!H22+Февраль!H22+Март!H22+Апрель!H22+Май!H22+Июнь!H22+Июль!H22+Август!H22+Сентябрь!H22+'Октябрь '!H22+Ноябрь!H22+Декабрь!H22)</f>
        <v/>
      </c>
      <c r="D22">
        <f>Январь!H22</f>
        <v/>
      </c>
      <c r="E22">
        <f>Февраль!H22</f>
        <v/>
      </c>
      <c r="F22">
        <f>Март!H22</f>
        <v/>
      </c>
      <c r="G22">
        <f>Апрель!H22</f>
        <v/>
      </c>
      <c r="H22">
        <f>Май!H22</f>
        <v/>
      </c>
      <c r="I22">
        <f>Июнь!H22</f>
        <v/>
      </c>
      <c r="J22">
        <f>Июль!H22</f>
        <v/>
      </c>
      <c r="K22">
        <f>Август!H22</f>
        <v/>
      </c>
      <c r="L22">
        <f>Сентябрь!H22</f>
        <v/>
      </c>
      <c r="M22">
        <f>'Октябрь '!H22</f>
        <v/>
      </c>
      <c r="N22">
        <f>Ноябрь!H22</f>
        <v/>
      </c>
      <c r="O22">
        <f>Декабрь!H22</f>
        <v/>
      </c>
    </row>
    <row r="23" ht="15.75" customHeight="1">
      <c r="B23" s="5" t="inlineStr">
        <is>
          <t>Синехии нос</t>
        </is>
      </c>
      <c r="C23" s="6">
        <f>SUM(Январь!H23+Февраль!H23+Март!H23+Апрель!H23+Май!H23+Июнь!H23+Июль!H23+Август!H23+Сентябрь!H23+'Октябрь '!H23+Ноябрь!H23+Декабрь!H23)</f>
        <v/>
      </c>
      <c r="D23">
        <f>Январь!H23</f>
        <v/>
      </c>
      <c r="E23">
        <f>Февраль!H23</f>
        <v/>
      </c>
      <c r="F23">
        <f>Март!H23</f>
        <v/>
      </c>
      <c r="G23">
        <f>Апрель!H23</f>
        <v/>
      </c>
      <c r="H23">
        <f>Май!H23</f>
        <v/>
      </c>
      <c r="I23">
        <f>Июнь!H23</f>
        <v/>
      </c>
      <c r="J23">
        <f>Июль!H23</f>
        <v/>
      </c>
      <c r="K23">
        <f>Август!H23</f>
        <v/>
      </c>
      <c r="L23">
        <f>Сентябрь!H23</f>
        <v/>
      </c>
      <c r="M23">
        <f>'Октябрь '!H23</f>
        <v/>
      </c>
      <c r="N23">
        <f>Ноябрь!H23</f>
        <v/>
      </c>
      <c r="O23">
        <f>Декабрь!H23</f>
        <v/>
      </c>
    </row>
    <row r="24" ht="19.5" customHeight="1">
      <c r="B24" s="7" t="inlineStr">
        <is>
          <t>Антромастоидотомия</t>
        </is>
      </c>
      <c r="C24" s="6">
        <f>SUM(Январь!H24+Февраль!H24+Март!H24+Апрель!H24+Май!H24+Июнь!H24+Июль!H24+Август!H24+Сентябрь!H24+'Октябрь '!H24+Ноябрь!H24+Декабрь!H24)</f>
        <v/>
      </c>
      <c r="D24">
        <f>Январь!H24</f>
        <v/>
      </c>
      <c r="E24">
        <f>Февраль!H24</f>
        <v/>
      </c>
      <c r="F24">
        <f>Март!H24</f>
        <v/>
      </c>
      <c r="G24">
        <f>Апрель!H24</f>
        <v/>
      </c>
      <c r="H24">
        <f>Май!H24</f>
        <v/>
      </c>
      <c r="I24">
        <f>Июнь!H24</f>
        <v/>
      </c>
      <c r="J24">
        <f>Июль!H24</f>
        <v/>
      </c>
      <c r="K24">
        <f>Август!H24</f>
        <v/>
      </c>
      <c r="L24">
        <f>Сентябрь!H24</f>
        <v/>
      </c>
      <c r="M24">
        <f>'Октябрь '!H24</f>
        <v/>
      </c>
      <c r="N24">
        <f>Ноябрь!H24</f>
        <v/>
      </c>
      <c r="O24">
        <f>Декабрь!H24</f>
        <v/>
      </c>
    </row>
    <row r="25" ht="37.5" customHeight="1">
      <c r="B25" s="5" t="inlineStr">
        <is>
          <t>Удаление новообр носа</t>
        </is>
      </c>
      <c r="C25" s="6">
        <f>SUM(Январь!H25+Февраль!H25+Март!H25+Апрель!H25+Май!H25+Июнь!H25+Июль!H25+Август!H25+Сентябрь!H25+'Октябрь '!H25+Ноябрь!H25+Декабрь!H25)</f>
        <v/>
      </c>
      <c r="D25">
        <f>Январь!H25</f>
        <v/>
      </c>
      <c r="E25">
        <f>Февраль!H25</f>
        <v/>
      </c>
      <c r="F25">
        <f>Март!H25</f>
        <v/>
      </c>
      <c r="G25">
        <f>Апрель!H25</f>
        <v/>
      </c>
      <c r="H25">
        <f>Май!H25</f>
        <v/>
      </c>
      <c r="I25">
        <f>Июнь!H25</f>
        <v/>
      </c>
      <c r="J25">
        <f>Июль!H25</f>
        <v/>
      </c>
      <c r="K25">
        <f>Август!H25</f>
        <v/>
      </c>
      <c r="L25">
        <f>Сентябрь!H25</f>
        <v/>
      </c>
      <c r="M25">
        <f>'Октябрь '!H25</f>
        <v/>
      </c>
      <c r="N25">
        <f>Ноябрь!H25</f>
        <v/>
      </c>
      <c r="O25">
        <f>Декабрь!H25</f>
        <v/>
      </c>
    </row>
    <row r="26" ht="31.5" customHeight="1">
      <c r="B26" s="5" t="inlineStr">
        <is>
          <t>Удаление новообр уха</t>
        </is>
      </c>
      <c r="C26" s="6">
        <f>SUM(Январь!H26+Февраль!H26+Март!H26+Апрель!H26+Май!H26+Июнь!H26+Июль!H26+Август!H26+Сентябрь!H26+'Октябрь '!H26+Ноябрь!H26+Декабрь!H26)</f>
        <v/>
      </c>
      <c r="D26">
        <f>Январь!H26</f>
        <v/>
      </c>
      <c r="E26">
        <f>Февраль!H26</f>
        <v/>
      </c>
      <c r="F26">
        <f>Март!H26</f>
        <v/>
      </c>
      <c r="G26">
        <f>Апрель!H26</f>
        <v/>
      </c>
      <c r="H26">
        <f>Май!H26</f>
        <v/>
      </c>
      <c r="I26">
        <f>Июнь!H26</f>
        <v/>
      </c>
      <c r="J26">
        <f>Июль!H26</f>
        <v/>
      </c>
      <c r="K26">
        <f>Август!H26</f>
        <v/>
      </c>
      <c r="L26">
        <f>Сентябрь!H26</f>
        <v/>
      </c>
      <c r="M26">
        <f>'Октябрь '!H26</f>
        <v/>
      </c>
      <c r="N26">
        <f>Ноябрь!H26</f>
        <v/>
      </c>
      <c r="O26">
        <f>Декабрь!H26</f>
        <v/>
      </c>
    </row>
    <row r="27" ht="30.75" customHeight="1">
      <c r="B27" s="5" t="inlineStr">
        <is>
          <t>Удаление новообр глотки</t>
        </is>
      </c>
      <c r="C27" s="6">
        <f>SUM(Январь!H27+Февраль!H27+Март!H27+Апрель!H27+Май!H27+Июнь!H27+Июль!H27+Август!H27+Сентябрь!H27+'Октябрь '!H27+Ноябрь!H27+Декабрь!H27)</f>
        <v/>
      </c>
      <c r="D27">
        <f>Январь!H27</f>
        <v/>
      </c>
      <c r="E27">
        <f>Февраль!H27</f>
        <v/>
      </c>
      <c r="F27">
        <f>Март!H27</f>
        <v/>
      </c>
      <c r="G27">
        <f>Апрель!H27</f>
        <v/>
      </c>
      <c r="H27">
        <f>Май!H27</f>
        <v/>
      </c>
      <c r="I27">
        <f>Июнь!H27</f>
        <v/>
      </c>
      <c r="J27">
        <f>Июль!H27</f>
        <v/>
      </c>
      <c r="K27">
        <f>Август!H27</f>
        <v/>
      </c>
      <c r="L27">
        <f>Сентябрь!H27</f>
        <v/>
      </c>
      <c r="M27">
        <f>'Октябрь '!H27</f>
        <v/>
      </c>
      <c r="N27">
        <f>Ноябрь!H27</f>
        <v/>
      </c>
      <c r="O27">
        <f>Декабрь!H27</f>
        <v/>
      </c>
    </row>
    <row r="28" ht="37.5" customHeight="1">
      <c r="B28" s="5" t="inlineStr">
        <is>
          <t>Удаление новообр гортани</t>
        </is>
      </c>
      <c r="C28" s="6">
        <f>SUM(Январь!H28+Февраль!H28+Март!H28+Апрель!H28+Май!H28+Июнь!H28+Июль!H28+Август!H28+Сентябрь!H28+'Октябрь '!H28+Ноябрь!H28+Декабрь!H28)</f>
        <v/>
      </c>
      <c r="D28">
        <f>Январь!H28</f>
        <v/>
      </c>
      <c r="E28">
        <f>Февраль!H28</f>
        <v/>
      </c>
      <c r="F28">
        <f>Март!H28</f>
        <v/>
      </c>
      <c r="G28">
        <f>Апрель!H28</f>
        <v/>
      </c>
      <c r="H28">
        <f>Май!H28</f>
        <v/>
      </c>
      <c r="I28">
        <f>Июнь!H28</f>
        <v/>
      </c>
      <c r="J28">
        <f>Июль!H28</f>
        <v/>
      </c>
      <c r="K28">
        <f>Август!H28</f>
        <v/>
      </c>
      <c r="L28">
        <f>Сентябрь!H28</f>
        <v/>
      </c>
      <c r="M28">
        <f>'Октябрь '!H28</f>
        <v/>
      </c>
      <c r="N28">
        <f>Ноябрь!H28</f>
        <v/>
      </c>
      <c r="O28">
        <f>Декабрь!H28</f>
        <v/>
      </c>
    </row>
    <row r="29" ht="15.75" customHeight="1">
      <c r="B29" s="7" t="inlineStr">
        <is>
          <t>ПХО</t>
        </is>
      </c>
      <c r="C29" s="6">
        <f>SUM(Январь!H29+Февраль!H29+Март!H29+Апрель!H29+Май!H29+Июнь!H29+Июль!H29+Август!H29+Сентябрь!H29+'Октябрь '!H29+Ноябрь!H29+Декабрь!H29)</f>
        <v/>
      </c>
      <c r="D29">
        <f>Январь!H29</f>
        <v/>
      </c>
      <c r="E29">
        <f>Февраль!H29</f>
        <v/>
      </c>
      <c r="F29">
        <f>Март!H29</f>
        <v/>
      </c>
      <c r="G29">
        <f>Апрель!H29</f>
        <v/>
      </c>
      <c r="H29">
        <f>Май!H29</f>
        <v/>
      </c>
      <c r="I29">
        <f>Июнь!H29</f>
        <v/>
      </c>
      <c r="J29">
        <f>Июль!H29</f>
        <v/>
      </c>
      <c r="K29">
        <f>Август!H29</f>
        <v/>
      </c>
      <c r="L29">
        <f>Сентябрь!H29</f>
        <v/>
      </c>
      <c r="M29">
        <f>'Октябрь '!H29</f>
        <v/>
      </c>
      <c r="N29">
        <f>Ноябрь!H29</f>
        <v/>
      </c>
      <c r="O29">
        <f>Декабрь!H29</f>
        <v/>
      </c>
    </row>
    <row r="30" ht="29.25" customHeight="1">
      <c r="B30" s="7" t="inlineStr">
        <is>
          <t>Удаление инородного тела</t>
        </is>
      </c>
      <c r="C30" s="6">
        <f>SUM(Январь!H30+Февраль!H30+Март!H30+Апрель!H30+Май!H30+Июнь!H30+Июль!H30+Август!H30+Сентябрь!H30+'Октябрь '!H30+Ноябрь!H30+Декабрь!H30)</f>
        <v/>
      </c>
      <c r="D30">
        <f>Январь!H30</f>
        <v/>
      </c>
      <c r="E30">
        <f>Февраль!H30</f>
        <v/>
      </c>
      <c r="F30">
        <f>Март!H30</f>
        <v/>
      </c>
      <c r="G30">
        <f>Апрель!H30</f>
        <v/>
      </c>
      <c r="H30">
        <f>Май!H30</f>
        <v/>
      </c>
      <c r="I30">
        <f>Июнь!H30</f>
        <v/>
      </c>
      <c r="J30">
        <f>Июль!H30</f>
        <v/>
      </c>
      <c r="K30">
        <f>Август!H30</f>
        <v/>
      </c>
      <c r="L30">
        <f>Сентябрь!H30</f>
        <v/>
      </c>
      <c r="M30">
        <f>'Октябрь '!H30</f>
        <v/>
      </c>
      <c r="N30">
        <f>Ноябрь!H30</f>
        <v/>
      </c>
      <c r="O30">
        <f>Декабрь!H30</f>
        <v/>
      </c>
    </row>
    <row r="31" ht="15.75" customHeight="1">
      <c r="B31" s="7" t="inlineStr">
        <is>
          <t>Фронтотомия</t>
        </is>
      </c>
      <c r="C31" s="6">
        <f>SUM(Январь!H31+Февраль!H31+Март!H31+Апрель!H31+Май!H31+Июнь!H31+Июль!H31+Август!H31+Сентябрь!H31+'Октябрь '!H31+Ноябрь!H31+Декабрь!H31)</f>
        <v/>
      </c>
      <c r="D31">
        <f>Январь!H31</f>
        <v/>
      </c>
      <c r="E31">
        <f>Февраль!H31</f>
        <v/>
      </c>
      <c r="F31">
        <f>Март!H31</f>
        <v/>
      </c>
      <c r="G31">
        <f>Апрель!H31</f>
        <v/>
      </c>
      <c r="H31">
        <f>Май!H31</f>
        <v/>
      </c>
      <c r="I31">
        <f>Июнь!H31</f>
        <v/>
      </c>
      <c r="J31">
        <f>Июль!H31</f>
        <v/>
      </c>
      <c r="K31">
        <f>Август!H31</f>
        <v/>
      </c>
      <c r="L31">
        <f>Сентябрь!H31</f>
        <v/>
      </c>
      <c r="M31">
        <f>'Октябрь '!H31</f>
        <v/>
      </c>
      <c r="N31">
        <f>Ноябрь!H31</f>
        <v/>
      </c>
      <c r="O31">
        <f>Декабрь!H31</f>
        <v/>
      </c>
    </row>
    <row r="32" ht="42" customHeight="1">
      <c r="B32" s="7" t="inlineStr">
        <is>
          <t>Субперостальный абсцесс за ухом</t>
        </is>
      </c>
      <c r="C32" s="6">
        <f>SUM(Январь!H32+Февраль!H32+Март!H32+Апрель!H32+Май!H32+Июнь!H32+Июль!H32+Август!H32+Сентябрь!H32+'Октябрь '!H32+Ноябрь!H32+Декабрь!H32)</f>
        <v/>
      </c>
      <c r="D32">
        <f>Январь!H32</f>
        <v/>
      </c>
      <c r="E32">
        <f>Февраль!H32</f>
        <v/>
      </c>
      <c r="F32">
        <f>Март!H32</f>
        <v/>
      </c>
      <c r="G32">
        <f>Апрель!H32</f>
        <v/>
      </c>
      <c r="H32">
        <f>Май!H32</f>
        <v/>
      </c>
      <c r="I32">
        <f>Июнь!H32</f>
        <v/>
      </c>
      <c r="J32">
        <f>Июль!H32</f>
        <v/>
      </c>
      <c r="K32">
        <f>Август!H32</f>
        <v/>
      </c>
      <c r="L32">
        <f>Сентябрь!H32</f>
        <v/>
      </c>
      <c r="M32">
        <f>'Октябрь '!H32</f>
        <v/>
      </c>
      <c r="N32">
        <f>Ноябрь!H32</f>
        <v/>
      </c>
      <c r="O32">
        <f>Декабрь!H32</f>
        <v/>
      </c>
    </row>
    <row r="33" ht="34.5" customHeight="1">
      <c r="B33" s="5" t="inlineStr">
        <is>
          <t>Пластика местными тканями</t>
        </is>
      </c>
      <c r="C33" s="6">
        <f>SUM(Январь!H33+Февраль!H33+Март!H33+Апрель!H33+Май!H33+Июнь!H33+Июль!H33+Август!H33+Сентябрь!H33+'Октябрь '!H33+Ноябрь!H33+Декабрь!H33)</f>
        <v/>
      </c>
      <c r="D33">
        <f>Январь!H33</f>
        <v/>
      </c>
      <c r="E33">
        <f>Февраль!H33</f>
        <v/>
      </c>
      <c r="F33">
        <f>Март!H33</f>
        <v/>
      </c>
      <c r="G33">
        <f>Апрель!H33</f>
        <v/>
      </c>
      <c r="H33">
        <f>Май!H33</f>
        <v/>
      </c>
      <c r="I33">
        <f>Июнь!H33</f>
        <v/>
      </c>
      <c r="J33">
        <f>Июль!H33</f>
        <v/>
      </c>
      <c r="K33">
        <f>Август!H33</f>
        <v/>
      </c>
      <c r="L33">
        <f>Сентябрь!H33</f>
        <v/>
      </c>
      <c r="M33">
        <f>'Октябрь '!H33</f>
        <v/>
      </c>
      <c r="N33">
        <f>Ноябрь!H33</f>
        <v/>
      </c>
      <c r="O33">
        <f>Декабрь!H33</f>
        <v/>
      </c>
    </row>
    <row r="34" ht="27.75" customHeight="1">
      <c r="B34" s="7" t="inlineStr">
        <is>
          <t>Ревизия п/о полости</t>
        </is>
      </c>
      <c r="C34" s="6">
        <f>SUM(Январь!H34+Февраль!H34+Март!H34+Апрель!H34+Май!H34+Июнь!H34+Июль!H34+Август!H34+Сентябрь!H34+'Октябрь '!H34+Ноябрь!H34+Декабрь!H34)</f>
        <v/>
      </c>
      <c r="D34">
        <f>Январь!H34</f>
        <v/>
      </c>
      <c r="E34">
        <f>Февраль!H34</f>
        <v/>
      </c>
      <c r="F34">
        <f>Март!H34</f>
        <v/>
      </c>
      <c r="G34">
        <f>Апрель!H34</f>
        <v/>
      </c>
      <c r="H34">
        <f>Май!H34</f>
        <v/>
      </c>
      <c r="I34">
        <f>Июнь!H34</f>
        <v/>
      </c>
      <c r="J34">
        <f>Июль!H34</f>
        <v/>
      </c>
      <c r="K34">
        <f>Август!H34</f>
        <v/>
      </c>
      <c r="L34">
        <f>Сентябрь!H34</f>
        <v/>
      </c>
      <c r="M34">
        <f>'Октябрь '!H34</f>
        <v/>
      </c>
      <c r="N34">
        <f>Ноябрь!H34</f>
        <v/>
      </c>
      <c r="O34">
        <f>Декабрь!H34</f>
        <v/>
      </c>
    </row>
    <row r="35" ht="39.75" customHeight="1">
      <c r="B35" s="5" t="inlineStr">
        <is>
          <t>Наложение вторичных швов</t>
        </is>
      </c>
      <c r="C35" s="6">
        <f>SUM(Январь!H35+Февраль!H35+Март!H35+Апрель!H35+Май!H35+Июнь!H35+Июль!H35+Август!H35+Сентябрь!H35+'Октябрь '!H35+Ноябрь!H35+Декабрь!H35)</f>
        <v/>
      </c>
      <c r="D35">
        <f>Январь!H35</f>
        <v/>
      </c>
      <c r="E35">
        <f>Февраль!H35</f>
        <v/>
      </c>
      <c r="F35">
        <f>Март!H35</f>
        <v/>
      </c>
      <c r="G35">
        <f>Апрель!H35</f>
        <v/>
      </c>
      <c r="H35">
        <f>Май!H35</f>
        <v/>
      </c>
      <c r="I35">
        <f>Июнь!H35</f>
        <v/>
      </c>
      <c r="J35">
        <f>Июль!H35</f>
        <v/>
      </c>
      <c r="K35">
        <f>Август!H35</f>
        <v/>
      </c>
      <c r="L35">
        <f>Сентябрь!H35</f>
        <v/>
      </c>
      <c r="M35">
        <f>'Октябрь '!H35</f>
        <v/>
      </c>
      <c r="N35">
        <f>Ноябрь!H35</f>
        <v/>
      </c>
      <c r="O35">
        <f>Декабрь!H35</f>
        <v/>
      </c>
    </row>
    <row r="36" ht="15.75" customHeight="1">
      <c r="B36" s="7" t="inlineStr">
        <is>
          <t>Заглоточный абсцесс</t>
        </is>
      </c>
      <c r="C36" s="8">
        <f>SUM(Январь!H36+Февраль!H36+Март!H36+Апрель!H36+Май!H36+Июнь!H36+Июль!H36+Август!H36+Сентябрь!H36+'Октябрь '!H36+Ноябрь!H36+Декабрь!H36)</f>
        <v/>
      </c>
      <c r="D36">
        <f>Январь!H36</f>
        <v/>
      </c>
      <c r="E36">
        <f>Февраль!H36</f>
        <v/>
      </c>
      <c r="F36">
        <f>Март!H36</f>
        <v/>
      </c>
      <c r="G36">
        <f>Апрель!H36</f>
        <v/>
      </c>
      <c r="H36">
        <f>Май!H36</f>
        <v/>
      </c>
      <c r="I36">
        <f>Июнь!H36</f>
        <v/>
      </c>
      <c r="J36">
        <f>Июль!H36</f>
        <v/>
      </c>
      <c r="K36">
        <f>Август!H36</f>
        <v/>
      </c>
      <c r="L36">
        <f>Сентябрь!H36</f>
        <v/>
      </c>
      <c r="M36">
        <f>'Октябрь '!H36</f>
        <v/>
      </c>
      <c r="N36">
        <f>Ноябрь!H36</f>
        <v/>
      </c>
      <c r="O36">
        <f>Декабрь!H36</f>
        <v/>
      </c>
    </row>
    <row r="37" ht="15.75" customHeight="1">
      <c r="B37" s="9" t="inlineStr">
        <is>
          <t xml:space="preserve">Биопсия гортани </t>
        </is>
      </c>
      <c r="C37" s="8">
        <f>SUM(Январь!H37+Февраль!H37+Март!H37+Апрель!H37+Май!H37+Июнь!H37+Июль!H37+Август!H37+Сентябрь!H37+'Октябрь '!H37+Ноябрь!H37+Декабрь!H37)</f>
        <v/>
      </c>
      <c r="D37">
        <f>Январь!H37</f>
        <v/>
      </c>
      <c r="E37">
        <f>Февраль!H37</f>
        <v/>
      </c>
      <c r="F37">
        <f>Март!H37</f>
        <v/>
      </c>
      <c r="G37">
        <f>Апрель!H37</f>
        <v/>
      </c>
      <c r="H37">
        <f>Май!H37</f>
        <v/>
      </c>
      <c r="I37">
        <f>Июнь!H37</f>
        <v/>
      </c>
      <c r="J37">
        <f>Июль!H37</f>
        <v/>
      </c>
      <c r="K37">
        <f>Август!H37</f>
        <v/>
      </c>
      <c r="L37">
        <f>Сентябрь!H37</f>
        <v/>
      </c>
      <c r="M37">
        <f>'Октябрь '!H37</f>
        <v/>
      </c>
      <c r="N37">
        <f>Ноябрь!H37</f>
        <v/>
      </c>
      <c r="O37">
        <f>Декабрь!H37</f>
        <v/>
      </c>
    </row>
    <row r="40">
      <c r="B40" s="10" t="inlineStr">
        <is>
          <t>Всего операций</t>
        </is>
      </c>
      <c r="C40" s="6">
        <f>SUM(Январь!H40+Февраль!H40+Март!H40+Апрель!H40+Май!H40+Июнь!H40+Июль!H40+Август!H40+Сентябрь!H40+'Октябрь '!H40+Ноябрь!H40+Декабрь!H40)</f>
        <v/>
      </c>
      <c r="D40">
        <f>Январь!H40</f>
        <v/>
      </c>
      <c r="E40">
        <f>Февраль!H40</f>
        <v/>
      </c>
      <c r="F40">
        <f>Март!H40</f>
        <v/>
      </c>
      <c r="G40">
        <f>Апрель!H40</f>
        <v/>
      </c>
      <c r="H40">
        <f>Май!H40</f>
        <v/>
      </c>
      <c r="I40">
        <f>Июнь!H40</f>
        <v/>
      </c>
      <c r="J40">
        <f>Июль!H40</f>
        <v/>
      </c>
      <c r="K40">
        <f>Август!H40</f>
        <v/>
      </c>
      <c r="L40">
        <f>Сентябрь!H40</f>
        <v/>
      </c>
      <c r="M40">
        <f>'Октябрь '!H40</f>
        <v/>
      </c>
      <c r="N40">
        <f>Ноябрь!H40</f>
        <v/>
      </c>
      <c r="O40">
        <f>Декабрь!H40</f>
        <v/>
      </c>
    </row>
    <row r="41">
      <c r="B41" s="10" t="inlineStr">
        <is>
          <t>Экстренно операций</t>
        </is>
      </c>
      <c r="C41" s="6">
        <f>SUM(Январь!H41+Февраль!H41+Март!H41+Апрель!H41+Май!H41+Июнь!H41+Июль!H41+Август!H41+Сентябрь!H41+'Октябрь '!H41+Ноябрь!H41+Декабрь!H41)</f>
        <v/>
      </c>
      <c r="D41">
        <f>Январь!H41</f>
        <v/>
      </c>
      <c r="E41">
        <f>Февраль!H41</f>
        <v/>
      </c>
      <c r="F41">
        <f>Март!H41</f>
        <v/>
      </c>
      <c r="G41">
        <f>Апрель!H41</f>
        <v/>
      </c>
      <c r="H41">
        <f>Май!H41</f>
        <v/>
      </c>
      <c r="I41">
        <f>Июнь!H41</f>
        <v/>
      </c>
      <c r="J41">
        <f>Июль!H41</f>
        <v/>
      </c>
      <c r="K41">
        <f>Август!H41</f>
        <v/>
      </c>
      <c r="L41">
        <f>Сентябрь!H41</f>
        <v/>
      </c>
      <c r="M41">
        <f>'Октябрь '!H41</f>
        <v/>
      </c>
      <c r="N41">
        <f>Ноябрь!H41</f>
        <v/>
      </c>
      <c r="O41">
        <f>Декабрь!H41</f>
        <v/>
      </c>
    </row>
    <row r="42">
      <c r="B42" s="10" t="inlineStr">
        <is>
          <t>План операций</t>
        </is>
      </c>
      <c r="C42" s="6">
        <f>SUM(Январь!H42+Февраль!H42+Март!H42+Апрель!H42+Май!H42+Июнь!H42+Июль!H42+Август!H42+Сентябрь!H42+'Октябрь '!H42+Ноябрь!H42+Декабрь!H42)</f>
        <v/>
      </c>
      <c r="D42">
        <f>Январь!H42</f>
        <v/>
      </c>
      <c r="E42">
        <f>Февраль!H42</f>
        <v/>
      </c>
      <c r="F42">
        <f>Март!H42</f>
        <v/>
      </c>
      <c r="G42">
        <f>Апрель!H42</f>
        <v/>
      </c>
      <c r="H42">
        <f>Май!H42</f>
        <v/>
      </c>
      <c r="I42">
        <f>Июнь!H42</f>
        <v/>
      </c>
      <c r="J42">
        <f>Июль!H42</f>
        <v/>
      </c>
      <c r="K42">
        <f>Август!H42</f>
        <v/>
      </c>
      <c r="L42">
        <f>Сентябрь!H42</f>
        <v/>
      </c>
      <c r="M42">
        <f>'Октябрь '!H42</f>
        <v/>
      </c>
      <c r="N42">
        <f>Ноябрь!H42</f>
        <v/>
      </c>
      <c r="O42">
        <f>Декабрь!H42</f>
        <v/>
      </c>
    </row>
    <row r="43">
      <c r="B43" s="11" t="inlineStr">
        <is>
          <t>Дети всего</t>
        </is>
      </c>
      <c r="C43" s="6">
        <f>SUM(Январь!H43+Февраль!H43+Март!H43+Апрель!H43+Май!H43+Июнь!H43+Июль!H43+Август!H43+Сентябрь!H43+'Октябрь '!H43+Ноябрь!H43+Декабрь!H43)</f>
        <v/>
      </c>
      <c r="D43">
        <f>Январь!H43</f>
        <v/>
      </c>
      <c r="E43">
        <f>Февраль!H43</f>
        <v/>
      </c>
      <c r="F43">
        <f>Март!H43</f>
        <v/>
      </c>
      <c r="G43">
        <f>Апрель!H43</f>
        <v/>
      </c>
      <c r="H43">
        <f>Май!H43</f>
        <v/>
      </c>
      <c r="I43">
        <f>Июнь!H43</f>
        <v/>
      </c>
      <c r="J43">
        <f>Июль!H43</f>
        <v/>
      </c>
      <c r="K43">
        <f>Август!H43</f>
        <v/>
      </c>
      <c r="L43">
        <f>Сентябрь!H43</f>
        <v/>
      </c>
      <c r="M43">
        <f>'Октябрь '!H43</f>
        <v/>
      </c>
      <c r="N43">
        <f>Ноябрь!H43</f>
        <v/>
      </c>
      <c r="O43">
        <f>Декабрь!H43</f>
        <v/>
      </c>
    </row>
    <row r="44">
      <c r="B44" s="10" t="inlineStr">
        <is>
          <t xml:space="preserve">Взрослые </t>
        </is>
      </c>
      <c r="C44" s="6">
        <f>SUM(Январь!H44+Февраль!H44+Март!H44+Апрель!H44+Май!H44+Июнь!H44+Июль!H44+Август!H44+Сентябрь!H44+'Октябрь '!H44+Ноябрь!H44+Декабрь!H44)</f>
        <v/>
      </c>
      <c r="D44">
        <f>Январь!H44</f>
        <v/>
      </c>
      <c r="E44">
        <f>Февраль!H44</f>
        <v/>
      </c>
      <c r="F44">
        <f>Март!H44</f>
        <v/>
      </c>
      <c r="G44">
        <f>Апрель!H44</f>
        <v/>
      </c>
      <c r="H44">
        <f>Май!H44</f>
        <v/>
      </c>
      <c r="I44">
        <f>Июнь!H44</f>
        <v/>
      </c>
      <c r="J44">
        <f>Июль!H44</f>
        <v/>
      </c>
      <c r="K44">
        <f>Август!H44</f>
        <v/>
      </c>
      <c r="L44">
        <f>Сентябрь!H44</f>
        <v/>
      </c>
      <c r="M44">
        <f>'Октябрь '!H44</f>
        <v/>
      </c>
      <c r="N44">
        <f>Ноябрь!H44</f>
        <v/>
      </c>
      <c r="O44">
        <f>Декабрь!H44</f>
        <v/>
      </c>
    </row>
    <row r="45" ht="51" customHeight="1">
      <c r="B45" s="12" t="inlineStr">
        <is>
          <t>Человек</t>
        </is>
      </c>
      <c r="C45" s="6">
        <f>SUM(Январь!H45+Февраль!H45+Март!H45+Апрель!H45+Май!H45+Июнь!H45+Июль!H45+Август!H45+Сентябрь!H45+'Октябрь '!H45+Ноябрь!H45+Декабрь!H45)</f>
        <v/>
      </c>
      <c r="D45">
        <f>Январь!H45</f>
        <v/>
      </c>
      <c r="E45">
        <f>Февраль!H45</f>
        <v/>
      </c>
      <c r="F45">
        <f>Март!H45</f>
        <v/>
      </c>
      <c r="G45">
        <f>Апрель!H45</f>
        <v/>
      </c>
      <c r="H45">
        <f>Май!H45</f>
        <v/>
      </c>
      <c r="I45">
        <f>Июнь!H45</f>
        <v/>
      </c>
      <c r="J45">
        <f>Июль!H45</f>
        <v/>
      </c>
      <c r="K45">
        <f>Август!H45</f>
        <v/>
      </c>
      <c r="L45">
        <f>Сентябрь!H45</f>
        <v/>
      </c>
      <c r="M45">
        <f>'Октябрь '!H45</f>
        <v/>
      </c>
      <c r="N45">
        <f>Ноябрь!H45</f>
        <v/>
      </c>
      <c r="O45">
        <f>Декабрь!H45</f>
        <v/>
      </c>
    </row>
    <row r="46">
      <c r="C46" s="12" t="n"/>
    </row>
    <row r="47">
      <c r="B47" s="13" t="inlineStr">
        <is>
          <t xml:space="preserve">% Плановых </t>
        </is>
      </c>
      <c r="C47" s="14">
        <f>C42*100/C40</f>
        <v/>
      </c>
      <c r="D47" s="15">
        <f>Январь!H47</f>
        <v/>
      </c>
      <c r="E47" s="15">
        <f>Февраль!H47</f>
        <v/>
      </c>
      <c r="F47" s="15">
        <f>Март!H47</f>
        <v/>
      </c>
      <c r="G47" s="15">
        <f>Апрель!H47</f>
        <v/>
      </c>
      <c r="H47" s="15">
        <f>Май!H47</f>
        <v/>
      </c>
      <c r="I47" s="15">
        <f>Июнь!H47</f>
        <v/>
      </c>
      <c r="J47" s="15">
        <f>Июль!H47</f>
        <v/>
      </c>
      <c r="K47" s="15">
        <f>Август!H47</f>
        <v/>
      </c>
      <c r="L47" s="15">
        <f>Сентябрь!H47</f>
        <v/>
      </c>
      <c r="M47" s="15">
        <f>'Октябрь '!H47</f>
        <v/>
      </c>
      <c r="N47" s="15">
        <f>Ноябрь!H47</f>
        <v/>
      </c>
      <c r="O47" s="15">
        <f>Декабрь!H47</f>
        <v/>
      </c>
    </row>
    <row r="48">
      <c r="B48" s="12" t="inlineStr">
        <is>
          <t>% Экстренных</t>
        </is>
      </c>
      <c r="C48" s="14">
        <f>C41*100/C40</f>
        <v/>
      </c>
      <c r="D48" s="15">
        <f>Январь!H48</f>
        <v/>
      </c>
      <c r="E48" s="15">
        <f>Февраль!H48</f>
        <v/>
      </c>
      <c r="F48" s="15">
        <f>Март!H48</f>
        <v/>
      </c>
      <c r="G48" s="15">
        <f>Апрель!H48</f>
        <v/>
      </c>
      <c r="H48" s="15">
        <f>Май!H48</f>
        <v/>
      </c>
      <c r="I48" s="15">
        <f>Июнь!H48</f>
        <v/>
      </c>
      <c r="J48" s="15">
        <f>Июль!H48</f>
        <v/>
      </c>
      <c r="K48" s="15">
        <f>Август!H48</f>
        <v/>
      </c>
      <c r="L48" s="15">
        <f>Сентябрь!H48</f>
        <v/>
      </c>
      <c r="M48" s="15">
        <f>'Октябрь '!H48</f>
        <v/>
      </c>
      <c r="N48" s="15">
        <f>Ноябрь!H48</f>
        <v/>
      </c>
      <c r="O48" s="15">
        <f>Декабрь!H48</f>
        <v/>
      </c>
    </row>
  </sheetData>
  <mergeCells count="1">
    <mergeCell ref="A1:AC1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2015-06-06T06:19:00Z</dcterms:created>
  <dcterms:modified xsi:type="dcterms:W3CDTF">2026-07-16T20:17:20Z</dcterms:modified>
  <cp:lastModifiedBy>Dmitrij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5E51C14962F2FD8E8B25596A819DC524_42</vt:lpwstr>
  </property>
  <property name="KSOProductBuildVer" fmtid="{D5CDD505-2E9C-101B-9397-08002B2CF9AE}" pid="3">
    <vt:lpwstr>1049-12.1.26015.26015</vt:lpwstr>
  </property>
  <property name="CalculationRule" fmtid="{D5CDD505-2E9C-101B-9397-08002B2CF9AE}" pid="4">
    <vt:i4>0</vt:i4>
  </property>
</Properties>
</file>